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"/>
    </mc:Choice>
  </mc:AlternateContent>
  <xr:revisionPtr revIDLastSave="11" documentId="11_70EEE61A97E080E80DF71E0EA184E00117E0569D" xr6:coauthVersionLast="47" xr6:coauthVersionMax="47" xr10:uidLastSave="{A1C461B7-C911-4639-8174-A36111B8FD88}"/>
  <bookViews>
    <workbookView xWindow="-108" yWindow="-108" windowWidth="23256" windowHeight="12456" tabRatio="788" firstSheet="6" activeTab="1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uel_Prices_State" sheetId="10" r:id="rId10"/>
    <sheet name="Greenfield_States" sheetId="11" r:id="rId11"/>
    <sheet name="Charcoal_Supply_State" sheetId="12" r:id="rId12"/>
    <sheet name="Ore_Cost_State" sheetId="13" r:id="rId13"/>
  </sheets>
  <externalReferences>
    <externalReference r:id="rId1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3" i="13" l="1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</calcChain>
</file>

<file path=xl/sharedStrings.xml><?xml version="1.0" encoding="utf-8"?>
<sst xmlns="http://schemas.openxmlformats.org/spreadsheetml/2006/main" count="1160" uniqueCount="111">
  <si>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</si>
  <si>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</si>
  <si>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</si>
  <si>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</si>
  <si>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</si>
  <si>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</si>
  <si>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</si>
  <si>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</si>
  <si>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</si>
  <si>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</si>
  <si>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</si>
  <si>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</si>
  <si>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</si>
  <si>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</si>
  <si>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</si>
  <si>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</si>
  <si>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</si>
  <si>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</si>
  <si>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</si>
  <si>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</si>
  <si>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</si>
  <si>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</si>
  <si>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</si>
  <si>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</si>
  <si>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</si>
  <si>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</si>
  <si>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</si>
  <si>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</si>
  <si>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</si>
  <si>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</si>
  <si>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</si>
  <si>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</si>
  <si>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</si>
  <si>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</si>
  <si>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</si>
  <si>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</si>
  <si>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</si>
  <si>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</si>
  <si>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</si>
  <si>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</si>
  <si>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</si>
  <si>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</si>
  <si>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</si>
  <si>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</si>
  <si>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</si>
  <si>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</si>
  <si>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</si>
  <si>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Price_USD_per_GJ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</si>
  <si>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</si>
  <si>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</si>
  <si>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</si>
  <si>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</si>
  <si>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</si>
  <si>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</si>
  <si>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</si>
  <si>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</si>
  <si>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</si>
  <si>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</si>
  <si>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</si>
  <si>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Unnamed: 2</t>
  </si>
  <si>
    <t>Unnamed: 3</t>
  </si>
  <si>
    <t>Unnamed: 4</t>
  </si>
  <si>
    <t>Production_kt</t>
  </si>
  <si>
    <t>Scrap_supply_kt</t>
  </si>
  <si>
    <t>Biomass_supply_GJ</t>
  </si>
  <si>
    <t>State</t>
  </si>
  <si>
    <t>Source_note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</si>
  <si>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</si>
  <si>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</si>
  <si>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</si>
  <si>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</si>
  <si>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</si>
  <si>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</si>
  <si>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</si>
  <si>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</si>
  <si>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</si>
  <si>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</si>
  <si>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</si>
  <si>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</si>
  <si>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</si>
  <si>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</si>
  <si>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</si>
  <si>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</si>
  <si>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</si>
  <si>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</si>
  <si>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</si>
  <si>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</si>
  <si>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</si>
  <si>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</si>
  <si>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</si>
  <si>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</si>
  <si>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</si>
  <si>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</si>
  <si>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</si>
  <si>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UF</t>
  </si>
  <si>
    <t>Region</t>
  </si>
  <si>
    <t>Outra</t>
  </si>
  <si>
    <t>Nordeste</t>
  </si>
  <si>
    <t>Sudeste</t>
  </si>
  <si>
    <t>Supply_PJ_per_year</t>
  </si>
  <si>
    <t>Note</t>
  </si>
  <si>
    <t>TO FILL — not yet enforced by the model (placeholder sheet)</t>
  </si>
  <si>
    <t>Extra_cost_USD_per_t</t>
  </si>
  <si>
    <t>Delta minério comum vs âncora MG: frete ANTT (MRS/EFVM) + dif. mina ANM; intensidade 1,6 t/t</t>
  </si>
  <si>
    <t>Delta pelota DR-grade vs âncora ES (Tubarão): FOB Comex por UF origem + cabotagem; intensidade 1,45 t/t</t>
  </si>
  <si>
    <t>ANEEL A4 verde fora ponta TUSD+TE + demanda, tributos: COM, ano-base 2024</t>
  </si>
  <si>
    <t>UF sem distribuidora de gas com movimentacao — media nacional. Candidata a exclusao de DR-NG por criterio de infraestrutura.</t>
  </si>
  <si>
    <t>Boletim do Gas MME, industrial, metodo da razao (estrutura dez + nivel media anual), base PCI, ano-base 2024</t>
  </si>
  <si>
    <t>Comex Stat NCM 2701.12.00 CIF nacional + frete ferroviário ANTT (MG/RJ), PCI BEN</t>
  </si>
  <si>
    <t>ANP SLP revenda 2024, método da razão sobre nível do Model_Config</t>
  </si>
  <si>
    <t>Razão amortecida sobre EE ANEEL por UF (alfa=fração eletricidade no LCOH), nível do Model_Config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</si>
</sst>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2%20(2).xlsx" TargetMode="External"/><Relationship Id="rId1" Type="http://schemas.openxmlformats.org/officeDocument/2006/relationships/externalLinkPath" Target="input/Precos_Energia_por_Estado_v2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E5">
            <v>0</v>
          </cell>
          <cell r="G5">
            <v>0</v>
          </cell>
        </row>
        <row r="6">
          <cell r="E6">
            <v>0</v>
          </cell>
          <cell r="G6">
            <v>0</v>
          </cell>
        </row>
        <row r="7">
          <cell r="E7">
            <v>0</v>
          </cell>
          <cell r="G7">
            <v>0</v>
          </cell>
        </row>
        <row r="8">
          <cell r="E8">
            <v>0</v>
          </cell>
          <cell r="G8">
            <v>0</v>
          </cell>
        </row>
        <row r="9">
          <cell r="E9">
            <v>0</v>
          </cell>
          <cell r="G9">
            <v>0</v>
          </cell>
        </row>
        <row r="10">
          <cell r="E10">
            <v>0</v>
          </cell>
          <cell r="G10">
            <v>0</v>
          </cell>
        </row>
        <row r="11">
          <cell r="E11">
            <v>0</v>
          </cell>
          <cell r="G11">
            <v>0</v>
          </cell>
        </row>
        <row r="12">
          <cell r="E12">
            <v>20.090437537091987</v>
          </cell>
          <cell r="G12">
            <v>0</v>
          </cell>
        </row>
        <row r="13">
          <cell r="E13">
            <v>0</v>
          </cell>
          <cell r="G13">
            <v>0</v>
          </cell>
        </row>
        <row r="14">
          <cell r="E14">
            <v>0</v>
          </cell>
          <cell r="G14">
            <v>0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  <cell r="G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  <cell r="G20">
            <v>0</v>
          </cell>
        </row>
        <row r="21">
          <cell r="E21">
            <v>0</v>
          </cell>
          <cell r="G21">
            <v>0</v>
          </cell>
        </row>
        <row r="22">
          <cell r="E22">
            <v>0</v>
          </cell>
          <cell r="G22">
            <v>0</v>
          </cell>
        </row>
        <row r="23">
          <cell r="E23">
            <v>21.614230211492625</v>
          </cell>
          <cell r="G23">
            <v>0</v>
          </cell>
        </row>
        <row r="24">
          <cell r="E24">
            <v>0</v>
          </cell>
          <cell r="G24">
            <v>0</v>
          </cell>
        </row>
        <row r="25">
          <cell r="E25">
            <v>0</v>
          </cell>
          <cell r="G25">
            <v>0</v>
          </cell>
        </row>
        <row r="26">
          <cell r="E26">
            <v>0</v>
          </cell>
          <cell r="G26">
            <v>0</v>
          </cell>
        </row>
        <row r="27">
          <cell r="E27">
            <v>0</v>
          </cell>
          <cell r="G27">
            <v>0</v>
          </cell>
        </row>
        <row r="28">
          <cell r="E28">
            <v>0</v>
          </cell>
          <cell r="G28">
            <v>0</v>
          </cell>
        </row>
        <row r="29">
          <cell r="E29">
            <v>0</v>
          </cell>
          <cell r="G29">
            <v>0</v>
          </cell>
        </row>
        <row r="30">
          <cell r="E30">
            <v>0</v>
          </cell>
          <cell r="G30">
            <v>0</v>
          </cell>
        </row>
        <row r="31">
          <cell r="E31">
            <v>0</v>
          </cell>
          <cell r="G31">
            <v>0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2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2050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cols>
    <col min="5" max="5" width="12.55468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>
        <v>170</v>
      </c>
      <c r="C2">
        <v>89</v>
      </c>
      <c r="D2">
        <v>0</v>
      </c>
      <c r="E2" t="b">
        <v>0</v>
      </c>
      <c r="F2">
        <v>6000</v>
      </c>
    </row>
    <row r="3" spans="1:6" x14ac:dyDescent="0.3">
      <c r="A3" t="s">
        <v>30</v>
      </c>
      <c r="B3">
        <v>170</v>
      </c>
      <c r="C3">
        <v>89</v>
      </c>
      <c r="D3">
        <v>0</v>
      </c>
      <c r="E3" t="b">
        <v>1</v>
      </c>
      <c r="F3">
        <v>4000</v>
      </c>
    </row>
    <row r="4" spans="1:6" x14ac:dyDescent="0.3">
      <c r="A4" t="s">
        <v>31</v>
      </c>
      <c r="B4">
        <v>825</v>
      </c>
      <c r="C4">
        <v>89</v>
      </c>
      <c r="D4">
        <v>0</v>
      </c>
      <c r="E4" t="b">
        <v>0</v>
      </c>
      <c r="F4">
        <v>6000</v>
      </c>
    </row>
    <row r="5" spans="1:6" x14ac:dyDescent="0.3">
      <c r="A5" t="s">
        <v>32</v>
      </c>
      <c r="B5">
        <v>244</v>
      </c>
      <c r="C5">
        <v>46</v>
      </c>
      <c r="D5">
        <v>0.95</v>
      </c>
      <c r="E5" t="b">
        <v>0</v>
      </c>
      <c r="F5">
        <v>2000</v>
      </c>
    </row>
    <row r="6" spans="1:6" x14ac:dyDescent="0.3">
      <c r="A6" t="s">
        <v>33</v>
      </c>
      <c r="B6">
        <v>550</v>
      </c>
      <c r="C6">
        <v>89</v>
      </c>
      <c r="D6">
        <v>0</v>
      </c>
      <c r="E6" t="b">
        <v>0</v>
      </c>
      <c r="F6">
        <v>3000</v>
      </c>
    </row>
    <row r="7" spans="1:6" x14ac:dyDescent="0.3">
      <c r="A7" t="s">
        <v>34</v>
      </c>
      <c r="B7">
        <v>700</v>
      </c>
      <c r="C7">
        <v>70</v>
      </c>
      <c r="D7">
        <v>0</v>
      </c>
      <c r="E7" t="b">
        <v>0</v>
      </c>
      <c r="F7">
        <v>2500</v>
      </c>
    </row>
    <row r="8" spans="1:6" x14ac:dyDescent="0.3">
      <c r="A8" t="s">
        <v>35</v>
      </c>
      <c r="B8">
        <v>500</v>
      </c>
      <c r="C8">
        <v>89</v>
      </c>
      <c r="D8">
        <v>0</v>
      </c>
      <c r="E8" t="b">
        <v>1</v>
      </c>
      <c r="F8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4.4" x14ac:dyDescent="0.3"/>
  <sheetData>
    <row r="1" spans="1:3" x14ac:dyDescent="0.3">
      <c r="A1" t="s">
        <v>23</v>
      </c>
      <c r="B1" t="s">
        <v>36</v>
      </c>
      <c r="C1" t="s">
        <v>37</v>
      </c>
    </row>
    <row r="2" spans="1:3" x14ac:dyDescent="0.3">
      <c r="A2" t="s">
        <v>29</v>
      </c>
      <c r="B2" t="s">
        <v>38</v>
      </c>
      <c r="C2">
        <v>21.15</v>
      </c>
    </row>
    <row r="3" spans="1:3" x14ac:dyDescent="0.3">
      <c r="A3" t="s">
        <v>29</v>
      </c>
      <c r="B3" t="s">
        <v>39</v>
      </c>
      <c r="C3">
        <v>0.47</v>
      </c>
    </row>
    <row r="4" spans="1:3" x14ac:dyDescent="0.3">
      <c r="A4" t="s">
        <v>29</v>
      </c>
      <c r="B4" t="s">
        <v>40</v>
      </c>
      <c r="C4">
        <v>1.28</v>
      </c>
    </row>
    <row r="5" spans="1:3" x14ac:dyDescent="0.3">
      <c r="A5" t="s">
        <v>29</v>
      </c>
      <c r="B5" t="s">
        <v>41</v>
      </c>
      <c r="C5">
        <v>0</v>
      </c>
    </row>
    <row r="6" spans="1:3" x14ac:dyDescent="0.3">
      <c r="A6" t="s">
        <v>29</v>
      </c>
      <c r="B6" t="s">
        <v>42</v>
      </c>
      <c r="C6">
        <v>0</v>
      </c>
    </row>
    <row r="7" spans="1:3" x14ac:dyDescent="0.3">
      <c r="A7" t="s">
        <v>29</v>
      </c>
      <c r="B7" t="s">
        <v>43</v>
      </c>
      <c r="C7">
        <v>0</v>
      </c>
    </row>
    <row r="8" spans="1:3" x14ac:dyDescent="0.3">
      <c r="A8" t="s">
        <v>30</v>
      </c>
      <c r="B8" t="s">
        <v>44</v>
      </c>
      <c r="C8">
        <v>15.582000000000001</v>
      </c>
    </row>
    <row r="9" spans="1:3" x14ac:dyDescent="0.3">
      <c r="A9" t="s">
        <v>30</v>
      </c>
      <c r="B9" t="s">
        <v>38</v>
      </c>
      <c r="C9">
        <v>2.5619999999999998</v>
      </c>
    </row>
    <row r="10" spans="1:3" x14ac:dyDescent="0.3">
      <c r="A10" t="s">
        <v>30</v>
      </c>
      <c r="B10" t="s">
        <v>39</v>
      </c>
      <c r="C10">
        <v>2.0790000000000002</v>
      </c>
    </row>
    <row r="11" spans="1:3" x14ac:dyDescent="0.3">
      <c r="A11" t="s">
        <v>30</v>
      </c>
      <c r="B11" t="s">
        <v>40</v>
      </c>
      <c r="C11">
        <v>0.39900000000000002</v>
      </c>
    </row>
    <row r="12" spans="1:3" x14ac:dyDescent="0.3">
      <c r="A12" t="s">
        <v>30</v>
      </c>
      <c r="B12" t="s">
        <v>43</v>
      </c>
      <c r="C12">
        <v>0.37800000000000011</v>
      </c>
    </row>
    <row r="13" spans="1:3" x14ac:dyDescent="0.3">
      <c r="A13" t="s">
        <v>31</v>
      </c>
      <c r="B13" t="s">
        <v>38</v>
      </c>
      <c r="C13">
        <v>21.15</v>
      </c>
    </row>
    <row r="14" spans="1:3" x14ac:dyDescent="0.3">
      <c r="A14" t="s">
        <v>31</v>
      </c>
      <c r="B14" t="s">
        <v>39</v>
      </c>
      <c r="C14">
        <v>4.13</v>
      </c>
    </row>
    <row r="15" spans="1:3" x14ac:dyDescent="0.3">
      <c r="A15" t="s">
        <v>31</v>
      </c>
      <c r="B15" t="s">
        <v>40</v>
      </c>
      <c r="C15">
        <v>1.28</v>
      </c>
    </row>
    <row r="16" spans="1:3" x14ac:dyDescent="0.3">
      <c r="A16" t="s">
        <v>31</v>
      </c>
      <c r="B16" t="s">
        <v>41</v>
      </c>
      <c r="C16">
        <v>0</v>
      </c>
    </row>
    <row r="17" spans="1:3" x14ac:dyDescent="0.3">
      <c r="A17" t="s">
        <v>31</v>
      </c>
      <c r="B17" t="s">
        <v>42</v>
      </c>
      <c r="C17">
        <v>0</v>
      </c>
    </row>
    <row r="18" spans="1:3" x14ac:dyDescent="0.3">
      <c r="A18" t="s">
        <v>31</v>
      </c>
      <c r="B18" t="s">
        <v>43</v>
      </c>
      <c r="C18">
        <v>0</v>
      </c>
    </row>
    <row r="19" spans="1:3" x14ac:dyDescent="0.3">
      <c r="A19" t="s">
        <v>32</v>
      </c>
      <c r="B19" t="s">
        <v>45</v>
      </c>
      <c r="C19">
        <v>0</v>
      </c>
    </row>
    <row r="20" spans="1:3" x14ac:dyDescent="0.3">
      <c r="A20" t="s">
        <v>32</v>
      </c>
      <c r="B20" t="s">
        <v>39</v>
      </c>
      <c r="C20">
        <v>2.71</v>
      </c>
    </row>
    <row r="21" spans="1:3" x14ac:dyDescent="0.3">
      <c r="A21" t="s">
        <v>32</v>
      </c>
      <c r="B21" t="s">
        <v>40</v>
      </c>
      <c r="C21">
        <v>3.05</v>
      </c>
    </row>
    <row r="22" spans="1:3" x14ac:dyDescent="0.3">
      <c r="A22" t="s">
        <v>32</v>
      </c>
      <c r="B22" t="s">
        <v>43</v>
      </c>
      <c r="C22">
        <v>0</v>
      </c>
    </row>
    <row r="23" spans="1:3" x14ac:dyDescent="0.3">
      <c r="A23" t="s">
        <v>32</v>
      </c>
      <c r="B23" t="s">
        <v>38</v>
      </c>
      <c r="C23">
        <v>0.4</v>
      </c>
    </row>
    <row r="24" spans="1:3" x14ac:dyDescent="0.3">
      <c r="A24" t="s">
        <v>33</v>
      </c>
      <c r="B24" t="s">
        <v>40</v>
      </c>
      <c r="C24">
        <v>18.809999999999999</v>
      </c>
    </row>
    <row r="25" spans="1:3" x14ac:dyDescent="0.3">
      <c r="A25" t="s">
        <v>33</v>
      </c>
      <c r="B25" t="s">
        <v>39</v>
      </c>
      <c r="C25">
        <v>2.0499999999999998</v>
      </c>
    </row>
    <row r="26" spans="1:3" x14ac:dyDescent="0.3">
      <c r="A26" t="s">
        <v>33</v>
      </c>
      <c r="B26" t="s">
        <v>38</v>
      </c>
      <c r="C26">
        <v>0.08</v>
      </c>
    </row>
    <row r="27" spans="1:3" x14ac:dyDescent="0.3">
      <c r="A27" t="s">
        <v>34</v>
      </c>
      <c r="B27" t="s">
        <v>46</v>
      </c>
      <c r="C27">
        <v>11.57</v>
      </c>
    </row>
    <row r="28" spans="1:3" x14ac:dyDescent="0.3">
      <c r="A28" t="s">
        <v>34</v>
      </c>
      <c r="B28" t="s">
        <v>39</v>
      </c>
      <c r="C28">
        <v>2.7</v>
      </c>
    </row>
    <row r="29" spans="1:3" x14ac:dyDescent="0.3">
      <c r="A29" t="s">
        <v>34</v>
      </c>
      <c r="B29" t="s">
        <v>40</v>
      </c>
      <c r="C29">
        <v>0</v>
      </c>
    </row>
    <row r="30" spans="1:3" x14ac:dyDescent="0.3">
      <c r="A30" t="s">
        <v>35</v>
      </c>
      <c r="B30" t="s">
        <v>44</v>
      </c>
      <c r="C30">
        <v>16</v>
      </c>
    </row>
    <row r="31" spans="1:3" x14ac:dyDescent="0.3">
      <c r="A31" t="s">
        <v>35</v>
      </c>
      <c r="B31" t="s">
        <v>39</v>
      </c>
      <c r="C31">
        <v>3</v>
      </c>
    </row>
    <row r="32" spans="1:3" x14ac:dyDescent="0.3">
      <c r="A32" t="s">
        <v>35</v>
      </c>
      <c r="B32" t="s">
        <v>40</v>
      </c>
      <c r="C32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t="s">
        <v>36</v>
      </c>
      <c r="B1" t="s">
        <v>47</v>
      </c>
    </row>
    <row r="2" spans="1:2" x14ac:dyDescent="0.3">
      <c r="A2" t="s">
        <v>38</v>
      </c>
      <c r="B2">
        <v>6.2</v>
      </c>
    </row>
    <row r="3" spans="1:2" x14ac:dyDescent="0.3">
      <c r="A3" t="s">
        <v>44</v>
      </c>
      <c r="B3">
        <v>9.8000000000000007</v>
      </c>
    </row>
    <row r="4" spans="1:2" x14ac:dyDescent="0.3">
      <c r="A4" t="s">
        <v>41</v>
      </c>
      <c r="B4">
        <v>12</v>
      </c>
    </row>
    <row r="5" spans="1:2" x14ac:dyDescent="0.3">
      <c r="A5" t="s">
        <v>39</v>
      </c>
      <c r="B5">
        <v>35.799999999999997</v>
      </c>
    </row>
    <row r="6" spans="1:2" x14ac:dyDescent="0.3">
      <c r="A6" t="s">
        <v>40</v>
      </c>
      <c r="B6">
        <v>13.3</v>
      </c>
    </row>
    <row r="7" spans="1:2" x14ac:dyDescent="0.3">
      <c r="A7" t="s">
        <v>46</v>
      </c>
      <c r="B7">
        <v>41.6</v>
      </c>
    </row>
    <row r="8" spans="1:2" x14ac:dyDescent="0.3">
      <c r="A8" t="s">
        <v>48</v>
      </c>
      <c r="B8">
        <v>9.3000000000000007</v>
      </c>
    </row>
    <row r="9" spans="1:2" x14ac:dyDescent="0.3">
      <c r="A9" t="s">
        <v>45</v>
      </c>
      <c r="B9">
        <v>0</v>
      </c>
    </row>
    <row r="10" spans="1:2" x14ac:dyDescent="0.3">
      <c r="A10" t="s">
        <v>43</v>
      </c>
      <c r="B10">
        <v>22</v>
      </c>
    </row>
    <row r="11" spans="1:2" x14ac:dyDescent="0.3">
      <c r="A11" t="s">
        <v>42</v>
      </c>
      <c r="B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36</v>
      </c>
      <c r="B1" t="s">
        <v>49</v>
      </c>
      <c r="C1" t="s">
        <v>50</v>
      </c>
    </row>
    <row r="2" spans="1:3" x14ac:dyDescent="0.3">
      <c r="A2" t="s">
        <v>38</v>
      </c>
      <c r="B2">
        <v>9.5000000000000001E-2</v>
      </c>
      <c r="C2" t="s">
        <v>51</v>
      </c>
    </row>
    <row r="3" spans="1:3" x14ac:dyDescent="0.3">
      <c r="A3" t="s">
        <v>44</v>
      </c>
      <c r="B3">
        <v>0</v>
      </c>
      <c r="C3" t="s">
        <v>52</v>
      </c>
    </row>
    <row r="4" spans="1:3" x14ac:dyDescent="0.3">
      <c r="A4" t="s">
        <v>41</v>
      </c>
      <c r="B4">
        <v>0.106</v>
      </c>
      <c r="C4" t="s">
        <v>51</v>
      </c>
    </row>
    <row r="5" spans="1:3" x14ac:dyDescent="0.3">
      <c r="A5" t="s">
        <v>39</v>
      </c>
      <c r="B5">
        <v>0</v>
      </c>
      <c r="C5" t="s">
        <v>53</v>
      </c>
    </row>
    <row r="6" spans="1:3" x14ac:dyDescent="0.3">
      <c r="A6" t="s">
        <v>40</v>
      </c>
      <c r="B6">
        <v>5.6099999999999997E-2</v>
      </c>
      <c r="C6" t="s">
        <v>54</v>
      </c>
    </row>
    <row r="7" spans="1:3" x14ac:dyDescent="0.3">
      <c r="A7" t="s">
        <v>46</v>
      </c>
      <c r="B7">
        <v>0</v>
      </c>
      <c r="C7" t="s">
        <v>55</v>
      </c>
    </row>
    <row r="8" spans="1:3" x14ac:dyDescent="0.3">
      <c r="A8" t="s">
        <v>48</v>
      </c>
      <c r="B8">
        <v>7.7399999999999997E-2</v>
      </c>
      <c r="C8" t="s">
        <v>54</v>
      </c>
    </row>
    <row r="9" spans="1:3" x14ac:dyDescent="0.3">
      <c r="A9" t="s">
        <v>45</v>
      </c>
      <c r="B9">
        <v>0</v>
      </c>
      <c r="C9" t="s">
        <v>56</v>
      </c>
    </row>
    <row r="10" spans="1:3" x14ac:dyDescent="0.3">
      <c r="A10" t="s">
        <v>43</v>
      </c>
      <c r="B10">
        <v>7.4099999999999999E-2</v>
      </c>
    </row>
    <row r="11" spans="1:3" x14ac:dyDescent="0.3">
      <c r="A11" t="s">
        <v>42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54000000</v>
      </c>
    </row>
    <row r="3" spans="1:5" x14ac:dyDescent="0.3">
      <c r="A3">
        <v>2024</v>
      </c>
      <c r="B3">
        <v>54000000</v>
      </c>
    </row>
    <row r="4" spans="1:5" x14ac:dyDescent="0.3">
      <c r="A4">
        <v>2025</v>
      </c>
      <c r="B4">
        <v>54000000</v>
      </c>
    </row>
    <row r="5" spans="1:5" x14ac:dyDescent="0.3">
      <c r="A5">
        <v>2026</v>
      </c>
      <c r="B5">
        <v>54000000</v>
      </c>
    </row>
    <row r="6" spans="1:5" x14ac:dyDescent="0.3">
      <c r="A6">
        <v>2027</v>
      </c>
      <c r="B6">
        <v>54000000</v>
      </c>
    </row>
    <row r="7" spans="1:5" x14ac:dyDescent="0.3">
      <c r="A7">
        <v>2028</v>
      </c>
      <c r="B7">
        <v>54000000</v>
      </c>
    </row>
    <row r="8" spans="1:5" x14ac:dyDescent="0.3">
      <c r="A8">
        <v>2029</v>
      </c>
      <c r="B8">
        <v>54000000</v>
      </c>
    </row>
    <row r="9" spans="1:5" x14ac:dyDescent="0.3">
      <c r="A9">
        <v>2030</v>
      </c>
      <c r="B9">
        <v>54000000</v>
      </c>
    </row>
    <row r="10" spans="1:5" x14ac:dyDescent="0.3">
      <c r="A10">
        <v>2031</v>
      </c>
      <c r="B10">
        <v>54000000</v>
      </c>
      <c r="D10">
        <v>2033</v>
      </c>
      <c r="E10">
        <v>0</v>
      </c>
    </row>
    <row r="11" spans="1:5" x14ac:dyDescent="0.3">
      <c r="A11">
        <v>2032</v>
      </c>
      <c r="B11">
        <v>54000000</v>
      </c>
      <c r="D11">
        <v>2035</v>
      </c>
      <c r="E11">
        <v>-2.1786492374726851E-3</v>
      </c>
    </row>
    <row r="12" spans="1:5" x14ac:dyDescent="0.3">
      <c r="A12">
        <v>2033</v>
      </c>
      <c r="B12">
        <v>54000000</v>
      </c>
      <c r="D12">
        <v>2050</v>
      </c>
      <c r="E12">
        <v>-1.851851851851849E-2</v>
      </c>
    </row>
    <row r="13" spans="1:5" x14ac:dyDescent="0.3">
      <c r="A13">
        <v>2034</v>
      </c>
      <c r="B13">
        <v>53941176.470588237</v>
      </c>
    </row>
    <row r="14" spans="1:5" x14ac:dyDescent="0.3">
      <c r="A14">
        <v>2035</v>
      </c>
      <c r="B14">
        <v>53882352.941176467</v>
      </c>
    </row>
    <row r="15" spans="1:5" x14ac:dyDescent="0.3">
      <c r="A15">
        <v>2036</v>
      </c>
      <c r="B15">
        <v>53823529.411764711</v>
      </c>
    </row>
    <row r="16" spans="1:5" x14ac:dyDescent="0.3">
      <c r="A16">
        <v>2037</v>
      </c>
      <c r="B16">
        <v>53764705.882352948</v>
      </c>
    </row>
    <row r="17" spans="1:2" x14ac:dyDescent="0.3">
      <c r="A17">
        <v>2038</v>
      </c>
      <c r="B17">
        <v>53705882.352941193</v>
      </c>
    </row>
    <row r="18" spans="1:2" x14ac:dyDescent="0.3">
      <c r="A18">
        <v>2039</v>
      </c>
      <c r="B18">
        <v>53647058.823529422</v>
      </c>
    </row>
    <row r="19" spans="1:2" x14ac:dyDescent="0.3">
      <c r="A19">
        <v>2040</v>
      </c>
      <c r="B19">
        <v>53588235.294117659</v>
      </c>
    </row>
    <row r="20" spans="1:2" x14ac:dyDescent="0.3">
      <c r="A20">
        <v>2041</v>
      </c>
      <c r="B20">
        <v>53529411.764705896</v>
      </c>
    </row>
    <row r="21" spans="1:2" x14ac:dyDescent="0.3">
      <c r="A21">
        <v>2042</v>
      </c>
      <c r="B21">
        <v>53470588.235294133</v>
      </c>
    </row>
    <row r="22" spans="1:2" x14ac:dyDescent="0.3">
      <c r="A22">
        <v>2043</v>
      </c>
      <c r="B22">
        <v>53411764.70588237</v>
      </c>
    </row>
    <row r="23" spans="1:2" x14ac:dyDescent="0.3">
      <c r="A23">
        <v>2044</v>
      </c>
      <c r="B23">
        <v>53352941.176470608</v>
      </c>
    </row>
    <row r="24" spans="1:2" x14ac:dyDescent="0.3">
      <c r="A24">
        <v>2045</v>
      </c>
      <c r="B24">
        <v>53294117.647058837</v>
      </c>
    </row>
    <row r="25" spans="1:2" x14ac:dyDescent="0.3">
      <c r="A25">
        <v>2046</v>
      </c>
      <c r="B25">
        <v>53235294.117647082</v>
      </c>
    </row>
    <row r="26" spans="1:2" x14ac:dyDescent="0.3">
      <c r="A26">
        <v>2047</v>
      </c>
      <c r="B26">
        <v>53176470.588235319</v>
      </c>
    </row>
    <row r="27" spans="1:2" x14ac:dyDescent="0.3">
      <c r="A27">
        <v>2048</v>
      </c>
      <c r="B27">
        <v>53117647.058823563</v>
      </c>
    </row>
    <row r="28" spans="1:2" x14ac:dyDescent="0.3">
      <c r="A28">
        <v>2049</v>
      </c>
      <c r="B28">
        <v>53058823.529411793</v>
      </c>
    </row>
    <row r="29" spans="1:2" x14ac:dyDescent="0.3">
      <c r="A29">
        <v>2050</v>
      </c>
      <c r="B29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62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32300</v>
      </c>
    </row>
    <row r="3" spans="1:5" x14ac:dyDescent="0.3">
      <c r="A3">
        <v>2024</v>
      </c>
      <c r="B3">
        <v>33325.925925925927</v>
      </c>
    </row>
    <row r="4" spans="1:5" x14ac:dyDescent="0.3">
      <c r="A4">
        <v>2025</v>
      </c>
      <c r="B4">
        <v>34351.851851851847</v>
      </c>
    </row>
    <row r="5" spans="1:5" x14ac:dyDescent="0.3">
      <c r="A5">
        <v>2026</v>
      </c>
      <c r="B5">
        <v>35377.777777777781</v>
      </c>
    </row>
    <row r="6" spans="1:5" x14ac:dyDescent="0.3">
      <c r="A6">
        <v>2027</v>
      </c>
      <c r="B6">
        <v>36403.703703703708</v>
      </c>
    </row>
    <row r="7" spans="1:5" x14ac:dyDescent="0.3">
      <c r="A7">
        <v>2028</v>
      </c>
      <c r="B7">
        <v>37429.629629629642</v>
      </c>
    </row>
    <row r="8" spans="1:5" x14ac:dyDescent="0.3">
      <c r="A8">
        <v>2029</v>
      </c>
      <c r="B8">
        <v>38455.555555555562</v>
      </c>
    </row>
    <row r="9" spans="1:5" x14ac:dyDescent="0.3">
      <c r="A9">
        <v>2030</v>
      </c>
      <c r="B9">
        <v>39481.481481481489</v>
      </c>
    </row>
    <row r="10" spans="1:5" x14ac:dyDescent="0.3">
      <c r="A10">
        <v>2031</v>
      </c>
      <c r="B10">
        <v>40507.407407407423</v>
      </c>
    </row>
    <row r="11" spans="1:5" x14ac:dyDescent="0.3">
      <c r="A11">
        <v>2032</v>
      </c>
      <c r="B11">
        <v>41533.333333333343</v>
      </c>
    </row>
    <row r="12" spans="1:5" x14ac:dyDescent="0.3">
      <c r="A12">
        <v>2033</v>
      </c>
      <c r="B12">
        <v>42559.25925925927</v>
      </c>
      <c r="E12">
        <v>0.85758513931888536</v>
      </c>
    </row>
    <row r="13" spans="1:5" x14ac:dyDescent="0.3">
      <c r="A13">
        <v>2034</v>
      </c>
      <c r="B13">
        <v>43585.185185185197</v>
      </c>
    </row>
    <row r="14" spans="1:5" x14ac:dyDescent="0.3">
      <c r="A14">
        <v>2035</v>
      </c>
      <c r="B14">
        <v>44611.111111111117</v>
      </c>
    </row>
    <row r="15" spans="1:5" x14ac:dyDescent="0.3">
      <c r="A15">
        <v>2036</v>
      </c>
      <c r="B15">
        <v>45637.037037037051</v>
      </c>
    </row>
    <row r="16" spans="1:5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63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64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6"/>
  <sheetViews>
    <sheetView topLeftCell="A111" workbookViewId="0">
      <selection activeCell="T131" sqref="T131"/>
    </sheetView>
  </sheetViews>
  <sheetFormatPr defaultRowHeight="14.4" x14ac:dyDescent="0.3"/>
  <sheetData>
    <row r="1" spans="1:4" x14ac:dyDescent="0.3">
      <c r="A1" t="s">
        <v>36</v>
      </c>
      <c r="B1" t="s">
        <v>65</v>
      </c>
      <c r="C1" t="s">
        <v>47</v>
      </c>
      <c r="D1" t="s">
        <v>66</v>
      </c>
    </row>
    <row r="2" spans="1:4" x14ac:dyDescent="0.3">
      <c r="A2" t="s">
        <v>39</v>
      </c>
      <c r="B2" t="s">
        <v>67</v>
      </c>
      <c r="C2">
        <v>24.432975786579298</v>
      </c>
      <c r="D2" t="s">
        <v>105</v>
      </c>
    </row>
    <row r="3" spans="1:4" x14ac:dyDescent="0.3">
      <c r="A3" t="s">
        <v>39</v>
      </c>
      <c r="B3" t="s">
        <v>68</v>
      </c>
      <c r="C3">
        <v>30.929157247701209</v>
      </c>
      <c r="D3" t="s">
        <v>105</v>
      </c>
    </row>
    <row r="4" spans="1:4" x14ac:dyDescent="0.3">
      <c r="A4" t="s">
        <v>39</v>
      </c>
      <c r="B4" t="s">
        <v>69</v>
      </c>
      <c r="C4">
        <v>36.820220463669912</v>
      </c>
      <c r="D4" t="s">
        <v>105</v>
      </c>
    </row>
    <row r="5" spans="1:4" x14ac:dyDescent="0.3">
      <c r="A5" t="s">
        <v>39</v>
      </c>
      <c r="B5" t="s">
        <v>70</v>
      </c>
      <c r="C5">
        <v>29.359478348679328</v>
      </c>
      <c r="D5" t="s">
        <v>105</v>
      </c>
    </row>
    <row r="6" spans="1:4" x14ac:dyDescent="0.3">
      <c r="A6" t="s">
        <v>39</v>
      </c>
      <c r="B6" t="s">
        <v>71</v>
      </c>
      <c r="C6">
        <v>28.221570261697355</v>
      </c>
      <c r="D6" t="s">
        <v>105</v>
      </c>
    </row>
    <row r="7" spans="1:4" x14ac:dyDescent="0.3">
      <c r="A7" t="s">
        <v>39</v>
      </c>
      <c r="B7" t="s">
        <v>72</v>
      </c>
      <c r="C7">
        <v>25.120380752519686</v>
      </c>
      <c r="D7" t="s">
        <v>105</v>
      </c>
    </row>
    <row r="8" spans="1:4" x14ac:dyDescent="0.3">
      <c r="A8" t="s">
        <v>39</v>
      </c>
      <c r="B8" t="s">
        <v>73</v>
      </c>
      <c r="C8">
        <v>34.21652014442958</v>
      </c>
      <c r="D8" t="s">
        <v>105</v>
      </c>
    </row>
    <row r="9" spans="1:4" x14ac:dyDescent="0.3">
      <c r="A9" t="s">
        <v>39</v>
      </c>
      <c r="B9" t="s">
        <v>74</v>
      </c>
      <c r="C9">
        <v>29.508836817228747</v>
      </c>
      <c r="D9" t="s">
        <v>105</v>
      </c>
    </row>
    <row r="10" spans="1:4" x14ac:dyDescent="0.3">
      <c r="A10" t="s">
        <v>39</v>
      </c>
      <c r="B10" t="s">
        <v>75</v>
      </c>
      <c r="C10">
        <v>26.458341141941396</v>
      </c>
      <c r="D10" t="s">
        <v>105</v>
      </c>
    </row>
    <row r="11" spans="1:4" x14ac:dyDescent="0.3">
      <c r="A11" t="s">
        <v>39</v>
      </c>
      <c r="B11" t="s">
        <v>76</v>
      </c>
      <c r="C11">
        <v>24.021002464036624</v>
      </c>
      <c r="D11" t="s">
        <v>105</v>
      </c>
    </row>
    <row r="12" spans="1:4" x14ac:dyDescent="0.3">
      <c r="A12" t="s">
        <v>39</v>
      </c>
      <c r="B12" t="s">
        <v>77</v>
      </c>
      <c r="C12">
        <v>30.406573179224697</v>
      </c>
      <c r="D12" t="s">
        <v>105</v>
      </c>
    </row>
    <row r="13" spans="1:4" x14ac:dyDescent="0.3">
      <c r="A13" t="s">
        <v>39</v>
      </c>
      <c r="B13" t="s">
        <v>78</v>
      </c>
      <c r="C13">
        <v>31.73135017792416</v>
      </c>
      <c r="D13" t="s">
        <v>105</v>
      </c>
    </row>
    <row r="14" spans="1:4" x14ac:dyDescent="0.3">
      <c r="A14" t="s">
        <v>39</v>
      </c>
      <c r="B14" t="s">
        <v>79</v>
      </c>
      <c r="C14">
        <v>33.060459182195423</v>
      </c>
      <c r="D14" t="s">
        <v>105</v>
      </c>
    </row>
    <row r="15" spans="1:4" x14ac:dyDescent="0.3">
      <c r="A15" t="s">
        <v>39</v>
      </c>
      <c r="B15" t="s">
        <v>80</v>
      </c>
      <c r="C15">
        <v>31.436797220793125</v>
      </c>
      <c r="D15" t="s">
        <v>105</v>
      </c>
    </row>
    <row r="16" spans="1:4" x14ac:dyDescent="0.3">
      <c r="A16" t="s">
        <v>39</v>
      </c>
      <c r="B16" t="s">
        <v>81</v>
      </c>
      <c r="C16">
        <v>21.688882437683297</v>
      </c>
      <c r="D16" t="s">
        <v>105</v>
      </c>
    </row>
    <row r="17" spans="1:4" x14ac:dyDescent="0.3">
      <c r="A17" t="s">
        <v>39</v>
      </c>
      <c r="B17" t="s">
        <v>82</v>
      </c>
      <c r="C17">
        <v>29.38125344861859</v>
      </c>
      <c r="D17" t="s">
        <v>105</v>
      </c>
    </row>
    <row r="18" spans="1:4" x14ac:dyDescent="0.3">
      <c r="A18" t="s">
        <v>39</v>
      </c>
      <c r="B18" t="s">
        <v>83</v>
      </c>
      <c r="C18">
        <v>25.563636369176116</v>
      </c>
      <c r="D18" t="s">
        <v>105</v>
      </c>
    </row>
    <row r="19" spans="1:4" x14ac:dyDescent="0.3">
      <c r="A19" t="s">
        <v>39</v>
      </c>
      <c r="B19" t="s">
        <v>84</v>
      </c>
      <c r="C19">
        <v>27.106759076072652</v>
      </c>
      <c r="D19" t="s">
        <v>105</v>
      </c>
    </row>
    <row r="20" spans="1:4" x14ac:dyDescent="0.3">
      <c r="A20" t="s">
        <v>39</v>
      </c>
      <c r="B20" t="s">
        <v>85</v>
      </c>
      <c r="C20">
        <v>34.266349919380623</v>
      </c>
      <c r="D20" t="s">
        <v>105</v>
      </c>
    </row>
    <row r="21" spans="1:4" x14ac:dyDescent="0.3">
      <c r="A21" t="s">
        <v>39</v>
      </c>
      <c r="B21" t="s">
        <v>86</v>
      </c>
      <c r="C21">
        <v>29.207317416722859</v>
      </c>
      <c r="D21" t="s">
        <v>105</v>
      </c>
    </row>
    <row r="22" spans="1:4" x14ac:dyDescent="0.3">
      <c r="A22" t="s">
        <v>39</v>
      </c>
      <c r="B22" t="s">
        <v>87</v>
      </c>
      <c r="C22">
        <v>24.966137321410816</v>
      </c>
      <c r="D22" t="s">
        <v>105</v>
      </c>
    </row>
    <row r="23" spans="1:4" x14ac:dyDescent="0.3">
      <c r="A23" t="s">
        <v>39</v>
      </c>
      <c r="B23" t="s">
        <v>88</v>
      </c>
      <c r="C23">
        <v>28.524189466156596</v>
      </c>
      <c r="D23" t="s">
        <v>105</v>
      </c>
    </row>
    <row r="24" spans="1:4" x14ac:dyDescent="0.3">
      <c r="A24" t="s">
        <v>39</v>
      </c>
      <c r="B24" t="s">
        <v>89</v>
      </c>
      <c r="C24">
        <v>27.704007612937467</v>
      </c>
      <c r="D24" t="s">
        <v>105</v>
      </c>
    </row>
    <row r="25" spans="1:4" x14ac:dyDescent="0.3">
      <c r="A25" t="s">
        <v>39</v>
      </c>
      <c r="B25" t="s">
        <v>90</v>
      </c>
      <c r="C25">
        <v>28.119116395084177</v>
      </c>
      <c r="D25" t="s">
        <v>105</v>
      </c>
    </row>
    <row r="26" spans="1:4" x14ac:dyDescent="0.3">
      <c r="A26" t="s">
        <v>39</v>
      </c>
      <c r="B26" t="s">
        <v>91</v>
      </c>
      <c r="C26">
        <v>24.198989440493847</v>
      </c>
      <c r="D26" t="s">
        <v>105</v>
      </c>
    </row>
    <row r="27" spans="1:4" x14ac:dyDescent="0.3">
      <c r="A27" t="s">
        <v>39</v>
      </c>
      <c r="B27" t="s">
        <v>92</v>
      </c>
      <c r="C27">
        <v>27.398678410070218</v>
      </c>
      <c r="D27" t="s">
        <v>105</v>
      </c>
    </row>
    <row r="28" spans="1:4" x14ac:dyDescent="0.3">
      <c r="A28" t="s">
        <v>39</v>
      </c>
      <c r="B28" t="s">
        <v>93</v>
      </c>
      <c r="C28">
        <v>26.474068338474254</v>
      </c>
      <c r="D28" t="s">
        <v>105</v>
      </c>
    </row>
    <row r="29" spans="1:4" x14ac:dyDescent="0.3">
      <c r="A29" t="s">
        <v>40</v>
      </c>
      <c r="B29" t="s">
        <v>67</v>
      </c>
      <c r="C29">
        <v>19.125598721917218</v>
      </c>
      <c r="D29" t="s">
        <v>106</v>
      </c>
    </row>
    <row r="30" spans="1:4" x14ac:dyDescent="0.3">
      <c r="A30" t="s">
        <v>40</v>
      </c>
      <c r="B30" t="s">
        <v>68</v>
      </c>
      <c r="C30">
        <v>18.030099033788304</v>
      </c>
      <c r="D30" t="s">
        <v>107</v>
      </c>
    </row>
    <row r="31" spans="1:4" x14ac:dyDescent="0.3">
      <c r="A31" t="s">
        <v>40</v>
      </c>
      <c r="B31" t="s">
        <v>69</v>
      </c>
      <c r="C31">
        <v>16.090151669393361</v>
      </c>
      <c r="D31" t="s">
        <v>107</v>
      </c>
    </row>
    <row r="32" spans="1:4" x14ac:dyDescent="0.3">
      <c r="A32" t="s">
        <v>40</v>
      </c>
      <c r="B32" t="s">
        <v>70</v>
      </c>
      <c r="C32">
        <v>19.125598721917218</v>
      </c>
      <c r="D32" t="s">
        <v>106</v>
      </c>
    </row>
    <row r="33" spans="1:4" x14ac:dyDescent="0.3">
      <c r="A33" t="s">
        <v>40</v>
      </c>
      <c r="B33" t="s">
        <v>71</v>
      </c>
      <c r="C33">
        <v>15.177235262619272</v>
      </c>
      <c r="D33" t="s">
        <v>107</v>
      </c>
    </row>
    <row r="34" spans="1:4" x14ac:dyDescent="0.3">
      <c r="A34" t="s">
        <v>40</v>
      </c>
      <c r="B34" t="s">
        <v>72</v>
      </c>
      <c r="C34">
        <v>21.339421008344388</v>
      </c>
      <c r="D34" t="s">
        <v>107</v>
      </c>
    </row>
    <row r="35" spans="1:4" x14ac:dyDescent="0.3">
      <c r="A35" t="s">
        <v>40</v>
      </c>
      <c r="B35" t="s">
        <v>73</v>
      </c>
      <c r="C35">
        <v>19.125598721917218</v>
      </c>
      <c r="D35" t="s">
        <v>106</v>
      </c>
    </row>
    <row r="36" spans="1:4" x14ac:dyDescent="0.3">
      <c r="A36" t="s">
        <v>40</v>
      </c>
      <c r="B36" t="s">
        <v>74</v>
      </c>
      <c r="C36">
        <v>18.943015440562398</v>
      </c>
      <c r="D36" t="s">
        <v>107</v>
      </c>
    </row>
    <row r="37" spans="1:4" x14ac:dyDescent="0.3">
      <c r="A37" t="s">
        <v>40</v>
      </c>
      <c r="B37" t="s">
        <v>75</v>
      </c>
      <c r="C37">
        <v>19.125598721917218</v>
      </c>
      <c r="D37" t="s">
        <v>106</v>
      </c>
    </row>
    <row r="38" spans="1:4" x14ac:dyDescent="0.3">
      <c r="A38" t="s">
        <v>40</v>
      </c>
      <c r="B38" t="s">
        <v>76</v>
      </c>
      <c r="C38">
        <v>19.125598721917218</v>
      </c>
      <c r="D38" t="s">
        <v>106</v>
      </c>
    </row>
    <row r="39" spans="1:4" x14ac:dyDescent="0.3">
      <c r="A39" t="s">
        <v>40</v>
      </c>
      <c r="B39" t="s">
        <v>77</v>
      </c>
      <c r="C39">
        <v>17.687755381248021</v>
      </c>
      <c r="D39" t="s">
        <v>107</v>
      </c>
    </row>
    <row r="40" spans="1:4" x14ac:dyDescent="0.3">
      <c r="A40" t="s">
        <v>40</v>
      </c>
      <c r="B40" t="s">
        <v>78</v>
      </c>
      <c r="C40">
        <v>19.057129991409159</v>
      </c>
      <c r="D40" t="s">
        <v>107</v>
      </c>
    </row>
    <row r="41" spans="1:4" x14ac:dyDescent="0.3">
      <c r="A41" t="s">
        <v>40</v>
      </c>
      <c r="B41" t="s">
        <v>79</v>
      </c>
      <c r="C41">
        <v>19.125598721917218</v>
      </c>
      <c r="D41" t="s">
        <v>106</v>
      </c>
    </row>
    <row r="42" spans="1:4" x14ac:dyDescent="0.3">
      <c r="A42" t="s">
        <v>40</v>
      </c>
      <c r="B42" t="s">
        <v>80</v>
      </c>
      <c r="C42">
        <v>19.125598721917218</v>
      </c>
      <c r="D42" t="s">
        <v>106</v>
      </c>
    </row>
    <row r="43" spans="1:4" x14ac:dyDescent="0.3">
      <c r="A43" t="s">
        <v>40</v>
      </c>
      <c r="B43" t="s">
        <v>81</v>
      </c>
      <c r="C43">
        <v>20.084160949030018</v>
      </c>
      <c r="D43" t="s">
        <v>107</v>
      </c>
    </row>
    <row r="44" spans="1:4" x14ac:dyDescent="0.3">
      <c r="A44" t="s">
        <v>40</v>
      </c>
      <c r="B44" t="s">
        <v>82</v>
      </c>
      <c r="C44">
        <v>18.828900889715641</v>
      </c>
      <c r="D44" t="s">
        <v>107</v>
      </c>
    </row>
    <row r="45" spans="1:4" x14ac:dyDescent="0.3">
      <c r="A45" t="s">
        <v>40</v>
      </c>
      <c r="B45" t="s">
        <v>83</v>
      </c>
      <c r="C45">
        <v>19.125598721917218</v>
      </c>
      <c r="D45" t="s">
        <v>106</v>
      </c>
    </row>
    <row r="46" spans="1:4" x14ac:dyDescent="0.3">
      <c r="A46" t="s">
        <v>40</v>
      </c>
      <c r="B46" t="s">
        <v>84</v>
      </c>
      <c r="C46">
        <v>19.285359093102681</v>
      </c>
      <c r="D46" t="s">
        <v>107</v>
      </c>
    </row>
    <row r="47" spans="1:4" x14ac:dyDescent="0.3">
      <c r="A47" t="s">
        <v>40</v>
      </c>
      <c r="B47" t="s">
        <v>85</v>
      </c>
      <c r="C47">
        <v>20.654733703263819</v>
      </c>
      <c r="D47" t="s">
        <v>107</v>
      </c>
    </row>
    <row r="48" spans="1:4" x14ac:dyDescent="0.3">
      <c r="A48" t="s">
        <v>40</v>
      </c>
      <c r="B48" t="s">
        <v>86</v>
      </c>
      <c r="C48">
        <v>20.198275499876775</v>
      </c>
      <c r="D48" t="s">
        <v>107</v>
      </c>
    </row>
    <row r="49" spans="1:4" x14ac:dyDescent="0.3">
      <c r="A49" t="s">
        <v>40</v>
      </c>
      <c r="B49" t="s">
        <v>87</v>
      </c>
      <c r="C49">
        <v>19.125598721917218</v>
      </c>
      <c r="D49" t="s">
        <v>106</v>
      </c>
    </row>
    <row r="50" spans="1:4" x14ac:dyDescent="0.3">
      <c r="A50" t="s">
        <v>40</v>
      </c>
      <c r="B50" t="s">
        <v>88</v>
      </c>
      <c r="C50">
        <v>19.125598721917218</v>
      </c>
      <c r="D50" t="s">
        <v>106</v>
      </c>
    </row>
    <row r="51" spans="1:4" x14ac:dyDescent="0.3">
      <c r="A51" t="s">
        <v>40</v>
      </c>
      <c r="B51" t="s">
        <v>89</v>
      </c>
      <c r="C51">
        <v>20.654733703263819</v>
      </c>
      <c r="D51" t="s">
        <v>107</v>
      </c>
    </row>
    <row r="52" spans="1:4" x14ac:dyDescent="0.3">
      <c r="A52" t="s">
        <v>40</v>
      </c>
      <c r="B52" t="s">
        <v>90</v>
      </c>
      <c r="C52">
        <v>19.171244542255923</v>
      </c>
      <c r="D52" t="s">
        <v>107</v>
      </c>
    </row>
    <row r="53" spans="1:4" x14ac:dyDescent="0.3">
      <c r="A53" t="s">
        <v>40</v>
      </c>
      <c r="B53" t="s">
        <v>91</v>
      </c>
      <c r="C53">
        <v>19.855931847336493</v>
      </c>
      <c r="D53" t="s">
        <v>107</v>
      </c>
    </row>
    <row r="54" spans="1:4" x14ac:dyDescent="0.3">
      <c r="A54" t="s">
        <v>40</v>
      </c>
      <c r="B54" t="s">
        <v>92</v>
      </c>
      <c r="C54">
        <v>19.323397276718271</v>
      </c>
      <c r="D54" t="s">
        <v>107</v>
      </c>
    </row>
    <row r="55" spans="1:4" x14ac:dyDescent="0.3">
      <c r="A55" t="s">
        <v>40</v>
      </c>
      <c r="B55" t="s">
        <v>93</v>
      </c>
      <c r="C55">
        <v>19.125598721917218</v>
      </c>
      <c r="D55" t="s">
        <v>106</v>
      </c>
    </row>
    <row r="56" spans="1:4" x14ac:dyDescent="0.3">
      <c r="A56" t="s">
        <v>38</v>
      </c>
      <c r="B56" t="s">
        <v>67</v>
      </c>
      <c r="C56">
        <v>6.3954263287481519</v>
      </c>
      <c r="D56" t="s">
        <v>108</v>
      </c>
    </row>
    <row r="57" spans="1:4" x14ac:dyDescent="0.3">
      <c r="A57" t="s">
        <v>38</v>
      </c>
      <c r="B57" t="s">
        <v>68</v>
      </c>
      <c r="C57">
        <v>6.3954263287481519</v>
      </c>
      <c r="D57" t="s">
        <v>108</v>
      </c>
    </row>
    <row r="58" spans="1:4" x14ac:dyDescent="0.3">
      <c r="A58" t="s">
        <v>38</v>
      </c>
      <c r="B58" t="s">
        <v>69</v>
      </c>
      <c r="C58">
        <v>6.3954263287481519</v>
      </c>
      <c r="D58" t="s">
        <v>108</v>
      </c>
    </row>
    <row r="59" spans="1:4" x14ac:dyDescent="0.3">
      <c r="A59" t="s">
        <v>38</v>
      </c>
      <c r="B59" t="s">
        <v>70</v>
      </c>
      <c r="C59">
        <v>6.3954263287481519</v>
      </c>
      <c r="D59" t="s">
        <v>108</v>
      </c>
    </row>
    <row r="60" spans="1:4" x14ac:dyDescent="0.3">
      <c r="A60" t="s">
        <v>38</v>
      </c>
      <c r="B60" t="s">
        <v>71</v>
      </c>
      <c r="C60">
        <v>6.3954263287481519</v>
      </c>
      <c r="D60" t="s">
        <v>108</v>
      </c>
    </row>
    <row r="61" spans="1:4" x14ac:dyDescent="0.3">
      <c r="A61" t="s">
        <v>38</v>
      </c>
      <c r="B61" t="s">
        <v>72</v>
      </c>
      <c r="C61">
        <v>6.3954263287481519</v>
      </c>
      <c r="D61" t="s">
        <v>108</v>
      </c>
    </row>
    <row r="62" spans="1:4" x14ac:dyDescent="0.3">
      <c r="A62" t="s">
        <v>38</v>
      </c>
      <c r="B62" t="s">
        <v>73</v>
      </c>
      <c r="C62">
        <v>6.3954263287481519</v>
      </c>
      <c r="D62" t="s">
        <v>108</v>
      </c>
    </row>
    <row r="63" spans="1:4" x14ac:dyDescent="0.3">
      <c r="A63" t="s">
        <v>38</v>
      </c>
      <c r="B63" t="s">
        <v>74</v>
      </c>
      <c r="C63">
        <v>6.3954263287481519</v>
      </c>
      <c r="D63" t="s">
        <v>108</v>
      </c>
    </row>
    <row r="64" spans="1:4" x14ac:dyDescent="0.3">
      <c r="A64" t="s">
        <v>38</v>
      </c>
      <c r="B64" t="s">
        <v>75</v>
      </c>
      <c r="C64">
        <v>6.3954263287481519</v>
      </c>
      <c r="D64" t="s">
        <v>108</v>
      </c>
    </row>
    <row r="65" spans="1:4" x14ac:dyDescent="0.3">
      <c r="A65" t="s">
        <v>38</v>
      </c>
      <c r="B65" t="s">
        <v>76</v>
      </c>
      <c r="C65">
        <v>6.3954263287481519</v>
      </c>
      <c r="D65" t="s">
        <v>108</v>
      </c>
    </row>
    <row r="66" spans="1:4" x14ac:dyDescent="0.3">
      <c r="A66" t="s">
        <v>38</v>
      </c>
      <c r="B66" t="s">
        <v>77</v>
      </c>
      <c r="C66">
        <v>7.0379102331182537</v>
      </c>
      <c r="D66" t="s">
        <v>108</v>
      </c>
    </row>
    <row r="67" spans="1:4" x14ac:dyDescent="0.3">
      <c r="A67" t="s">
        <v>38</v>
      </c>
      <c r="B67" t="s">
        <v>78</v>
      </c>
      <c r="C67">
        <v>6.3954263287481519</v>
      </c>
      <c r="D67" t="s">
        <v>108</v>
      </c>
    </row>
    <row r="68" spans="1:4" x14ac:dyDescent="0.3">
      <c r="A68" t="s">
        <v>38</v>
      </c>
      <c r="B68" t="s">
        <v>79</v>
      </c>
      <c r="C68">
        <v>6.3954263287481519</v>
      </c>
      <c r="D68" t="s">
        <v>108</v>
      </c>
    </row>
    <row r="69" spans="1:4" x14ac:dyDescent="0.3">
      <c r="A69" t="s">
        <v>38</v>
      </c>
      <c r="B69" t="s">
        <v>80</v>
      </c>
      <c r="C69">
        <v>6.3954263287481519</v>
      </c>
      <c r="D69" t="s">
        <v>108</v>
      </c>
    </row>
    <row r="70" spans="1:4" x14ac:dyDescent="0.3">
      <c r="A70" t="s">
        <v>38</v>
      </c>
      <c r="B70" t="s">
        <v>81</v>
      </c>
      <c r="C70">
        <v>6.3954263287481519</v>
      </c>
      <c r="D70" t="s">
        <v>108</v>
      </c>
    </row>
    <row r="71" spans="1:4" x14ac:dyDescent="0.3">
      <c r="A71" t="s">
        <v>38</v>
      </c>
      <c r="B71" t="s">
        <v>82</v>
      </c>
      <c r="C71">
        <v>6.3954263287481519</v>
      </c>
      <c r="D71" t="s">
        <v>108</v>
      </c>
    </row>
    <row r="72" spans="1:4" x14ac:dyDescent="0.3">
      <c r="A72" t="s">
        <v>38</v>
      </c>
      <c r="B72" t="s">
        <v>83</v>
      </c>
      <c r="C72">
        <v>6.3954263287481519</v>
      </c>
      <c r="D72" t="s">
        <v>108</v>
      </c>
    </row>
    <row r="73" spans="1:4" x14ac:dyDescent="0.3">
      <c r="A73" t="s">
        <v>38</v>
      </c>
      <c r="B73" t="s">
        <v>84</v>
      </c>
      <c r="C73">
        <v>6.3954263287481519</v>
      </c>
      <c r="D73" t="s">
        <v>108</v>
      </c>
    </row>
    <row r="74" spans="1:4" x14ac:dyDescent="0.3">
      <c r="A74" t="s">
        <v>38</v>
      </c>
      <c r="B74" t="s">
        <v>85</v>
      </c>
      <c r="C74">
        <v>6.4986066984327655</v>
      </c>
      <c r="D74" t="s">
        <v>108</v>
      </c>
    </row>
    <row r="75" spans="1:4" x14ac:dyDescent="0.3">
      <c r="A75" t="s">
        <v>38</v>
      </c>
      <c r="B75" t="s">
        <v>86</v>
      </c>
      <c r="C75">
        <v>6.3954263287481519</v>
      </c>
      <c r="D75" t="s">
        <v>108</v>
      </c>
    </row>
    <row r="76" spans="1:4" x14ac:dyDescent="0.3">
      <c r="A76" t="s">
        <v>38</v>
      </c>
      <c r="B76" t="s">
        <v>87</v>
      </c>
      <c r="C76">
        <v>6.3954263287481519</v>
      </c>
      <c r="D76" t="s">
        <v>108</v>
      </c>
    </row>
    <row r="77" spans="1:4" x14ac:dyDescent="0.3">
      <c r="A77" t="s">
        <v>38</v>
      </c>
      <c r="B77" t="s">
        <v>88</v>
      </c>
      <c r="C77">
        <v>6.3954263287481519</v>
      </c>
      <c r="D77" t="s">
        <v>108</v>
      </c>
    </row>
    <row r="78" spans="1:4" x14ac:dyDescent="0.3">
      <c r="A78" t="s">
        <v>38</v>
      </c>
      <c r="B78" t="s">
        <v>89</v>
      </c>
      <c r="C78">
        <v>6.3954263287481519</v>
      </c>
      <c r="D78" t="s">
        <v>108</v>
      </c>
    </row>
    <row r="79" spans="1:4" x14ac:dyDescent="0.3">
      <c r="A79" t="s">
        <v>38</v>
      </c>
      <c r="B79" t="s">
        <v>90</v>
      </c>
      <c r="C79">
        <v>6.3954263287481519</v>
      </c>
      <c r="D79" t="s">
        <v>108</v>
      </c>
    </row>
    <row r="80" spans="1:4" x14ac:dyDescent="0.3">
      <c r="A80" t="s">
        <v>38</v>
      </c>
      <c r="B80" t="s">
        <v>91</v>
      </c>
      <c r="C80">
        <v>6.3954263287481519</v>
      </c>
      <c r="D80" t="s">
        <v>108</v>
      </c>
    </row>
    <row r="81" spans="1:4" x14ac:dyDescent="0.3">
      <c r="A81" t="s">
        <v>38</v>
      </c>
      <c r="B81" t="s">
        <v>92</v>
      </c>
      <c r="C81">
        <v>6.3954263287481519</v>
      </c>
      <c r="D81" t="s">
        <v>108</v>
      </c>
    </row>
    <row r="82" spans="1:4" x14ac:dyDescent="0.3">
      <c r="A82" t="s">
        <v>38</v>
      </c>
      <c r="B82" t="s">
        <v>93</v>
      </c>
      <c r="C82">
        <v>6.3954263287481519</v>
      </c>
      <c r="D82" t="s">
        <v>108</v>
      </c>
    </row>
    <row r="83" spans="1:4" x14ac:dyDescent="0.3">
      <c r="A83" t="s">
        <v>43</v>
      </c>
      <c r="B83" t="s">
        <v>67</v>
      </c>
      <c r="C83">
        <v>26.590946592596666</v>
      </c>
      <c r="D83" t="s">
        <v>109</v>
      </c>
    </row>
    <row r="84" spans="1:4" x14ac:dyDescent="0.3">
      <c r="A84" t="s">
        <v>43</v>
      </c>
      <c r="B84" t="s">
        <v>68</v>
      </c>
      <c r="C84">
        <v>21.908035861613769</v>
      </c>
      <c r="D84" t="s">
        <v>109</v>
      </c>
    </row>
    <row r="85" spans="1:4" x14ac:dyDescent="0.3">
      <c r="A85" t="s">
        <v>43</v>
      </c>
      <c r="B85" t="s">
        <v>69</v>
      </c>
      <c r="C85">
        <v>22.811946537594185</v>
      </c>
      <c r="D85" t="s">
        <v>109</v>
      </c>
    </row>
    <row r="86" spans="1:4" x14ac:dyDescent="0.3">
      <c r="A86" t="s">
        <v>43</v>
      </c>
      <c r="B86" t="s">
        <v>70</v>
      </c>
      <c r="C86">
        <v>23.476266431989437</v>
      </c>
      <c r="D86" t="s">
        <v>109</v>
      </c>
    </row>
    <row r="87" spans="1:4" x14ac:dyDescent="0.3">
      <c r="A87" t="s">
        <v>43</v>
      </c>
      <c r="B87" t="s">
        <v>71</v>
      </c>
      <c r="C87">
        <v>21.566800506022766</v>
      </c>
      <c r="D87" t="s">
        <v>109</v>
      </c>
    </row>
    <row r="88" spans="1:4" x14ac:dyDescent="0.3">
      <c r="A88" t="s">
        <v>43</v>
      </c>
      <c r="B88" t="s">
        <v>72</v>
      </c>
      <c r="C88">
        <v>22.401738078213516</v>
      </c>
      <c r="D88" t="s">
        <v>109</v>
      </c>
    </row>
    <row r="89" spans="1:4" x14ac:dyDescent="0.3">
      <c r="A89" t="s">
        <v>43</v>
      </c>
      <c r="B89" t="s">
        <v>73</v>
      </c>
      <c r="C89">
        <v>21.156592046642096</v>
      </c>
      <c r="D89" t="s">
        <v>109</v>
      </c>
    </row>
    <row r="90" spans="1:4" x14ac:dyDescent="0.3">
      <c r="A90" t="s">
        <v>43</v>
      </c>
      <c r="B90" t="s">
        <v>74</v>
      </c>
      <c r="C90">
        <v>21.356251031296402</v>
      </c>
      <c r="D90" t="s">
        <v>109</v>
      </c>
    </row>
    <row r="91" spans="1:4" x14ac:dyDescent="0.3">
      <c r="A91" t="s">
        <v>43</v>
      </c>
      <c r="B91" t="s">
        <v>75</v>
      </c>
      <c r="C91">
        <v>21.138441229855342</v>
      </c>
      <c r="D91" t="s">
        <v>109</v>
      </c>
    </row>
    <row r="92" spans="1:4" x14ac:dyDescent="0.3">
      <c r="A92" t="s">
        <v>43</v>
      </c>
      <c r="B92" t="s">
        <v>76</v>
      </c>
      <c r="C92">
        <v>21.09850943292448</v>
      </c>
      <c r="D92" t="s">
        <v>109</v>
      </c>
    </row>
    <row r="93" spans="1:4" x14ac:dyDescent="0.3">
      <c r="A93" t="s">
        <v>43</v>
      </c>
      <c r="B93" t="s">
        <v>77</v>
      </c>
      <c r="C93">
        <v>20.982344205489245</v>
      </c>
      <c r="D93" t="s">
        <v>109</v>
      </c>
    </row>
    <row r="94" spans="1:4" x14ac:dyDescent="0.3">
      <c r="A94" t="s">
        <v>43</v>
      </c>
      <c r="B94" t="s">
        <v>78</v>
      </c>
      <c r="C94">
        <v>21.541389362521311</v>
      </c>
      <c r="D94" t="s">
        <v>109</v>
      </c>
    </row>
    <row r="95" spans="1:4" x14ac:dyDescent="0.3">
      <c r="A95" t="s">
        <v>43</v>
      </c>
      <c r="B95" t="s">
        <v>79</v>
      </c>
      <c r="C95">
        <v>21.900775534899068</v>
      </c>
      <c r="D95" t="s">
        <v>109</v>
      </c>
    </row>
    <row r="96" spans="1:4" x14ac:dyDescent="0.3">
      <c r="A96" t="s">
        <v>43</v>
      </c>
      <c r="B96" t="s">
        <v>80</v>
      </c>
      <c r="C96">
        <v>23.011605522248502</v>
      </c>
      <c r="D96" t="s">
        <v>109</v>
      </c>
    </row>
    <row r="97" spans="1:4" x14ac:dyDescent="0.3">
      <c r="A97" t="s">
        <v>43</v>
      </c>
      <c r="B97" t="s">
        <v>81</v>
      </c>
      <c r="C97">
        <v>21.007755348990699</v>
      </c>
      <c r="D97" t="s">
        <v>109</v>
      </c>
    </row>
    <row r="98" spans="1:4" x14ac:dyDescent="0.3">
      <c r="A98" t="s">
        <v>43</v>
      </c>
      <c r="B98" t="s">
        <v>82</v>
      </c>
      <c r="C98">
        <v>21.918926351685823</v>
      </c>
      <c r="D98" t="s">
        <v>109</v>
      </c>
    </row>
    <row r="99" spans="1:4" x14ac:dyDescent="0.3">
      <c r="A99" t="s">
        <v>43</v>
      </c>
      <c r="B99" t="s">
        <v>83</v>
      </c>
      <c r="C99">
        <v>21.414333645014022</v>
      </c>
      <c r="D99" t="s">
        <v>109</v>
      </c>
    </row>
    <row r="100" spans="1:4" x14ac:dyDescent="0.3">
      <c r="A100" t="s">
        <v>43</v>
      </c>
      <c r="B100" t="s">
        <v>84</v>
      </c>
      <c r="C100">
        <v>21.145701556570042</v>
      </c>
      <c r="D100" t="s">
        <v>109</v>
      </c>
    </row>
    <row r="101" spans="1:4" x14ac:dyDescent="0.3">
      <c r="A101" t="s">
        <v>43</v>
      </c>
      <c r="B101" t="s">
        <v>85</v>
      </c>
      <c r="C101">
        <v>21.592211649524227</v>
      </c>
      <c r="D101" t="s">
        <v>109</v>
      </c>
    </row>
    <row r="102" spans="1:4" x14ac:dyDescent="0.3">
      <c r="A102" t="s">
        <v>43</v>
      </c>
      <c r="B102" t="s">
        <v>86</v>
      </c>
      <c r="C102">
        <v>21.900775534899068</v>
      </c>
      <c r="D102" t="s">
        <v>109</v>
      </c>
    </row>
    <row r="103" spans="1:4" x14ac:dyDescent="0.3">
      <c r="A103" t="s">
        <v>43</v>
      </c>
      <c r="B103" t="s">
        <v>87</v>
      </c>
      <c r="C103">
        <v>23.675925416643747</v>
      </c>
      <c r="D103" t="s">
        <v>109</v>
      </c>
    </row>
    <row r="104" spans="1:4" x14ac:dyDescent="0.3">
      <c r="A104" t="s">
        <v>43</v>
      </c>
      <c r="B104" t="s">
        <v>88</v>
      </c>
      <c r="C104">
        <v>23.817501787580436</v>
      </c>
      <c r="D104" t="s">
        <v>109</v>
      </c>
    </row>
    <row r="105" spans="1:4" x14ac:dyDescent="0.3">
      <c r="A105" t="s">
        <v>43</v>
      </c>
      <c r="B105" t="s">
        <v>89</v>
      </c>
      <c r="C105">
        <v>21.675705406743301</v>
      </c>
      <c r="D105" t="s">
        <v>109</v>
      </c>
    </row>
    <row r="106" spans="1:4" x14ac:dyDescent="0.3">
      <c r="A106" t="s">
        <v>43</v>
      </c>
      <c r="B106" t="s">
        <v>90</v>
      </c>
      <c r="C106">
        <v>21.559540179308065</v>
      </c>
      <c r="D106" t="s">
        <v>109</v>
      </c>
    </row>
    <row r="107" spans="1:4" x14ac:dyDescent="0.3">
      <c r="A107" t="s">
        <v>43</v>
      </c>
      <c r="B107" t="s">
        <v>91</v>
      </c>
      <c r="C107">
        <v>20.583026236180626</v>
      </c>
      <c r="D107" t="s">
        <v>109</v>
      </c>
    </row>
    <row r="108" spans="1:4" x14ac:dyDescent="0.3">
      <c r="A108" t="s">
        <v>43</v>
      </c>
      <c r="B108" t="s">
        <v>92</v>
      </c>
      <c r="C108">
        <v>21.486936912161042</v>
      </c>
      <c r="D108" t="s">
        <v>109</v>
      </c>
    </row>
    <row r="109" spans="1:4" x14ac:dyDescent="0.3">
      <c r="A109" t="s">
        <v>43</v>
      </c>
      <c r="B109" t="s">
        <v>93</v>
      </c>
      <c r="C109">
        <v>21.280017600792032</v>
      </c>
      <c r="D109" t="s">
        <v>109</v>
      </c>
    </row>
    <row r="110" spans="1:4" x14ac:dyDescent="0.3">
      <c r="A110" t="s">
        <v>46</v>
      </c>
      <c r="B110" t="s">
        <v>67</v>
      </c>
      <c r="C110">
        <v>37.298336284551112</v>
      </c>
      <c r="D110" t="s">
        <v>110</v>
      </c>
    </row>
    <row r="111" spans="1:4" x14ac:dyDescent="0.3">
      <c r="A111" t="s">
        <v>46</v>
      </c>
      <c r="B111" t="s">
        <v>68</v>
      </c>
      <c r="C111">
        <v>44.118186658027547</v>
      </c>
      <c r="D111" t="s">
        <v>110</v>
      </c>
    </row>
    <row r="112" spans="1:4" x14ac:dyDescent="0.3">
      <c r="A112" t="s">
        <v>46</v>
      </c>
      <c r="B112" t="s">
        <v>69</v>
      </c>
      <c r="C112">
        <v>50.302769079876775</v>
      </c>
      <c r="D112" t="s">
        <v>110</v>
      </c>
    </row>
    <row r="113" spans="1:4" x14ac:dyDescent="0.3">
      <c r="A113" t="s">
        <v>46</v>
      </c>
      <c r="B113" t="s">
        <v>70</v>
      </c>
      <c r="C113">
        <v>42.470299312238453</v>
      </c>
      <c r="D113" t="s">
        <v>110</v>
      </c>
    </row>
    <row r="114" spans="1:4" x14ac:dyDescent="0.3">
      <c r="A114" t="s">
        <v>46</v>
      </c>
      <c r="B114" t="s">
        <v>71</v>
      </c>
      <c r="C114">
        <v>41.275695537939697</v>
      </c>
      <c r="D114" t="s">
        <v>110</v>
      </c>
    </row>
    <row r="115" spans="1:4" x14ac:dyDescent="0.3">
      <c r="A115" t="s">
        <v>46</v>
      </c>
      <c r="B115" t="s">
        <v>72</v>
      </c>
      <c r="C115">
        <v>38.019990850661159</v>
      </c>
      <c r="D115" t="s">
        <v>110</v>
      </c>
    </row>
    <row r="116" spans="1:4" x14ac:dyDescent="0.3">
      <c r="A116" t="s">
        <v>46</v>
      </c>
      <c r="B116" t="s">
        <v>73</v>
      </c>
      <c r="C116">
        <v>47.569340726487574</v>
      </c>
      <c r="D116" t="s">
        <v>110</v>
      </c>
    </row>
    <row r="117" spans="1:4" x14ac:dyDescent="0.3">
      <c r="A117" t="s">
        <v>46</v>
      </c>
      <c r="B117" t="s">
        <v>74</v>
      </c>
      <c r="C117">
        <v>42.627099489945117</v>
      </c>
      <c r="D117" t="s">
        <v>110</v>
      </c>
    </row>
    <row r="118" spans="1:4" x14ac:dyDescent="0.3">
      <c r="A118" t="s">
        <v>46</v>
      </c>
      <c r="B118" t="s">
        <v>75</v>
      </c>
      <c r="C118">
        <v>39.4246144308526</v>
      </c>
      <c r="D118" t="s">
        <v>110</v>
      </c>
    </row>
    <row r="119" spans="1:4" x14ac:dyDescent="0.3">
      <c r="A119" t="s">
        <v>46</v>
      </c>
      <c r="B119" t="s">
        <v>76</v>
      </c>
      <c r="C119">
        <v>36.865836602327057</v>
      </c>
      <c r="D119" t="s">
        <v>110</v>
      </c>
    </row>
    <row r="120" spans="1:4" x14ac:dyDescent="0.3">
      <c r="A120" t="s">
        <v>46</v>
      </c>
      <c r="B120" t="s">
        <v>77</v>
      </c>
      <c r="C120">
        <v>43.569565106135599</v>
      </c>
      <c r="D120" t="s">
        <v>110</v>
      </c>
    </row>
    <row r="121" spans="1:4" x14ac:dyDescent="0.3">
      <c r="A121" t="s">
        <v>46</v>
      </c>
      <c r="B121" t="s">
        <v>78</v>
      </c>
      <c r="C121">
        <v>44.960348439917837</v>
      </c>
      <c r="D121" t="s">
        <v>110</v>
      </c>
    </row>
    <row r="122" spans="1:4" x14ac:dyDescent="0.3">
      <c r="A122" t="s">
        <v>46</v>
      </c>
      <c r="B122" t="s">
        <v>79</v>
      </c>
      <c r="C122">
        <v>46.355679619229576</v>
      </c>
      <c r="D122" t="s">
        <v>110</v>
      </c>
    </row>
    <row r="123" spans="1:4" x14ac:dyDescent="0.3">
      <c r="A123" t="s">
        <v>46</v>
      </c>
      <c r="B123" t="s">
        <v>80</v>
      </c>
      <c r="C123">
        <v>44.651119532640401</v>
      </c>
      <c r="D123" t="s">
        <v>110</v>
      </c>
    </row>
    <row r="124" spans="1:4" x14ac:dyDescent="0.3">
      <c r="A124" t="s">
        <v>46</v>
      </c>
      <c r="B124" t="s">
        <v>81</v>
      </c>
      <c r="C124">
        <v>34.41751989074757</v>
      </c>
      <c r="D124" t="s">
        <v>110</v>
      </c>
    </row>
    <row r="125" spans="1:4" x14ac:dyDescent="0.3">
      <c r="A125" t="s">
        <v>46</v>
      </c>
      <c r="B125" t="s">
        <v>82</v>
      </c>
      <c r="C125">
        <v>42.493159345373613</v>
      </c>
      <c r="D125" t="s">
        <v>110</v>
      </c>
    </row>
    <row r="126" spans="1:4" x14ac:dyDescent="0.3">
      <c r="A126" t="s">
        <v>46</v>
      </c>
      <c r="B126" t="s">
        <v>83</v>
      </c>
      <c r="C126">
        <v>38.485331451272678</v>
      </c>
      <c r="D126" t="s">
        <v>110</v>
      </c>
    </row>
    <row r="127" spans="1:4" x14ac:dyDescent="0.3">
      <c r="A127" t="s">
        <v>46</v>
      </c>
      <c r="B127" t="s">
        <v>84</v>
      </c>
      <c r="C127">
        <v>40.105339456272404</v>
      </c>
      <c r="D127" t="s">
        <v>110</v>
      </c>
    </row>
    <row r="128" spans="1:4" x14ac:dyDescent="0.3">
      <c r="A128" t="s">
        <v>46</v>
      </c>
      <c r="B128" t="s">
        <v>85</v>
      </c>
      <c r="C128">
        <v>47.621653244440459</v>
      </c>
      <c r="D128" t="s">
        <v>110</v>
      </c>
    </row>
    <row r="129" spans="1:4" x14ac:dyDescent="0.3">
      <c r="A129" t="s">
        <v>46</v>
      </c>
      <c r="B129" t="s">
        <v>86</v>
      </c>
      <c r="C129">
        <v>42.310557039821603</v>
      </c>
      <c r="D129" t="s">
        <v>110</v>
      </c>
    </row>
    <row r="130" spans="1:4" x14ac:dyDescent="0.3">
      <c r="A130" t="s">
        <v>46</v>
      </c>
      <c r="B130" t="s">
        <v>87</v>
      </c>
      <c r="C130">
        <v>37.858062319638805</v>
      </c>
      <c r="D130" t="s">
        <v>110</v>
      </c>
    </row>
    <row r="131" spans="1:4" x14ac:dyDescent="0.3">
      <c r="A131" t="s">
        <v>46</v>
      </c>
      <c r="B131" t="s">
        <v>88</v>
      </c>
      <c r="C131">
        <v>41.593392589184944</v>
      </c>
      <c r="D131" t="s">
        <v>110</v>
      </c>
    </row>
    <row r="132" spans="1:4" x14ac:dyDescent="0.3">
      <c r="A132" t="s">
        <v>46</v>
      </c>
      <c r="B132" t="s">
        <v>89</v>
      </c>
      <c r="C132">
        <v>40.732345595428548</v>
      </c>
      <c r="D132" t="s">
        <v>110</v>
      </c>
    </row>
    <row r="133" spans="1:4" x14ac:dyDescent="0.3">
      <c r="A133" t="s">
        <v>46</v>
      </c>
      <c r="B133" t="s">
        <v>90</v>
      </c>
      <c r="C133">
        <v>41.168136959924645</v>
      </c>
      <c r="D133" t="s">
        <v>110</v>
      </c>
    </row>
    <row r="134" spans="1:4" x14ac:dyDescent="0.3">
      <c r="A134" t="s">
        <v>46</v>
      </c>
      <c r="B134" t="s">
        <v>91</v>
      </c>
      <c r="C134">
        <v>37.052691688677449</v>
      </c>
      <c r="D134" t="s">
        <v>110</v>
      </c>
    </row>
    <row r="135" spans="1:4" x14ac:dyDescent="0.3">
      <c r="A135" t="s">
        <v>46</v>
      </c>
      <c r="B135" t="s">
        <v>92</v>
      </c>
      <c r="C135">
        <v>40.41180352149334</v>
      </c>
      <c r="D135" t="s">
        <v>110</v>
      </c>
    </row>
    <row r="136" spans="1:4" x14ac:dyDescent="0.3">
      <c r="A136" t="s">
        <v>46</v>
      </c>
      <c r="B136" t="s">
        <v>93</v>
      </c>
      <c r="C136">
        <v>39.441125226893362</v>
      </c>
      <c r="D136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4.4" x14ac:dyDescent="0.3"/>
  <sheetData>
    <row r="1" spans="1:2" x14ac:dyDescent="0.3">
      <c r="A1" t="s">
        <v>94</v>
      </c>
      <c r="B1" t="s">
        <v>95</v>
      </c>
    </row>
    <row r="2" spans="1:2" x14ac:dyDescent="0.3">
      <c r="A2" t="s">
        <v>67</v>
      </c>
      <c r="B2" t="s">
        <v>96</v>
      </c>
    </row>
    <row r="3" spans="1:2" x14ac:dyDescent="0.3">
      <c r="A3" t="s">
        <v>68</v>
      </c>
      <c r="B3" t="s">
        <v>97</v>
      </c>
    </row>
    <row r="4" spans="1:2" x14ac:dyDescent="0.3">
      <c r="A4" t="s">
        <v>69</v>
      </c>
      <c r="B4" t="s">
        <v>96</v>
      </c>
    </row>
    <row r="5" spans="1:2" x14ac:dyDescent="0.3">
      <c r="A5" t="s">
        <v>70</v>
      </c>
      <c r="B5" t="s">
        <v>96</v>
      </c>
    </row>
    <row r="6" spans="1:2" x14ac:dyDescent="0.3">
      <c r="A6" t="s">
        <v>71</v>
      </c>
      <c r="B6" t="s">
        <v>97</v>
      </c>
    </row>
    <row r="7" spans="1:2" x14ac:dyDescent="0.3">
      <c r="A7" t="s">
        <v>72</v>
      </c>
      <c r="B7" t="s">
        <v>97</v>
      </c>
    </row>
    <row r="8" spans="1:2" x14ac:dyDescent="0.3">
      <c r="A8" t="s">
        <v>73</v>
      </c>
      <c r="B8" t="s">
        <v>96</v>
      </c>
    </row>
    <row r="9" spans="1:2" x14ac:dyDescent="0.3">
      <c r="A9" t="s">
        <v>74</v>
      </c>
      <c r="B9" t="s">
        <v>98</v>
      </c>
    </row>
    <row r="10" spans="1:2" x14ac:dyDescent="0.3">
      <c r="A10" t="s">
        <v>75</v>
      </c>
      <c r="B10" t="s">
        <v>96</v>
      </c>
    </row>
    <row r="11" spans="1:2" x14ac:dyDescent="0.3">
      <c r="A11" t="s">
        <v>76</v>
      </c>
      <c r="B11" t="s">
        <v>97</v>
      </c>
    </row>
    <row r="12" spans="1:2" x14ac:dyDescent="0.3">
      <c r="A12" t="s">
        <v>77</v>
      </c>
      <c r="B12" t="s">
        <v>98</v>
      </c>
    </row>
    <row r="13" spans="1:2" x14ac:dyDescent="0.3">
      <c r="A13" t="s">
        <v>78</v>
      </c>
      <c r="B13" t="s">
        <v>96</v>
      </c>
    </row>
    <row r="14" spans="1:2" x14ac:dyDescent="0.3">
      <c r="A14" t="s">
        <v>79</v>
      </c>
      <c r="B14" t="s">
        <v>96</v>
      </c>
    </row>
    <row r="15" spans="1:2" x14ac:dyDescent="0.3">
      <c r="A15" t="s">
        <v>80</v>
      </c>
      <c r="B15" t="s">
        <v>96</v>
      </c>
    </row>
    <row r="16" spans="1:2" x14ac:dyDescent="0.3">
      <c r="A16" t="s">
        <v>81</v>
      </c>
      <c r="B16" t="s">
        <v>97</v>
      </c>
    </row>
    <row r="17" spans="1:2" x14ac:dyDescent="0.3">
      <c r="A17" t="s">
        <v>82</v>
      </c>
      <c r="B17" t="s">
        <v>97</v>
      </c>
    </row>
    <row r="18" spans="1:2" x14ac:dyDescent="0.3">
      <c r="A18" t="s">
        <v>83</v>
      </c>
      <c r="B18" t="s">
        <v>97</v>
      </c>
    </row>
    <row r="19" spans="1:2" x14ac:dyDescent="0.3">
      <c r="A19" t="s">
        <v>84</v>
      </c>
      <c r="B19" t="s">
        <v>96</v>
      </c>
    </row>
    <row r="20" spans="1:2" x14ac:dyDescent="0.3">
      <c r="A20" t="s">
        <v>85</v>
      </c>
      <c r="B20" t="s">
        <v>98</v>
      </c>
    </row>
    <row r="21" spans="1:2" x14ac:dyDescent="0.3">
      <c r="A21" t="s">
        <v>86</v>
      </c>
      <c r="B21" t="s">
        <v>97</v>
      </c>
    </row>
    <row r="22" spans="1:2" x14ac:dyDescent="0.3">
      <c r="A22" t="s">
        <v>87</v>
      </c>
      <c r="B22" t="s">
        <v>96</v>
      </c>
    </row>
    <row r="23" spans="1:2" x14ac:dyDescent="0.3">
      <c r="A23" t="s">
        <v>88</v>
      </c>
      <c r="B23" t="s">
        <v>96</v>
      </c>
    </row>
    <row r="24" spans="1:2" x14ac:dyDescent="0.3">
      <c r="A24" t="s">
        <v>89</v>
      </c>
      <c r="B24" t="s">
        <v>96</v>
      </c>
    </row>
    <row r="25" spans="1:2" x14ac:dyDescent="0.3">
      <c r="A25" t="s">
        <v>90</v>
      </c>
      <c r="B25" t="s">
        <v>96</v>
      </c>
    </row>
    <row r="26" spans="1:2" x14ac:dyDescent="0.3">
      <c r="A26" t="s">
        <v>91</v>
      </c>
      <c r="B26" t="s">
        <v>97</v>
      </c>
    </row>
    <row r="27" spans="1:2" x14ac:dyDescent="0.3">
      <c r="A27" t="s">
        <v>92</v>
      </c>
      <c r="B27" t="s">
        <v>98</v>
      </c>
    </row>
    <row r="28" spans="1:2" x14ac:dyDescent="0.3">
      <c r="A28" t="s">
        <v>93</v>
      </c>
      <c r="B28" t="s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65</v>
      </c>
      <c r="B1" t="s">
        <v>99</v>
      </c>
      <c r="C1" t="s">
        <v>100</v>
      </c>
    </row>
    <row r="2" spans="1:3" x14ac:dyDescent="0.3">
      <c r="A2" t="s">
        <v>67</v>
      </c>
      <c r="C2" t="s">
        <v>101</v>
      </c>
    </row>
    <row r="3" spans="1:3" x14ac:dyDescent="0.3">
      <c r="A3" t="s">
        <v>68</v>
      </c>
      <c r="C3" t="s">
        <v>101</v>
      </c>
    </row>
    <row r="4" spans="1:3" x14ac:dyDescent="0.3">
      <c r="A4" t="s">
        <v>69</v>
      </c>
      <c r="C4" t="s">
        <v>101</v>
      </c>
    </row>
    <row r="5" spans="1:3" x14ac:dyDescent="0.3">
      <c r="A5" t="s">
        <v>70</v>
      </c>
      <c r="C5" t="s">
        <v>101</v>
      </c>
    </row>
    <row r="6" spans="1:3" x14ac:dyDescent="0.3">
      <c r="A6" t="s">
        <v>71</v>
      </c>
      <c r="C6" t="s">
        <v>101</v>
      </c>
    </row>
    <row r="7" spans="1:3" x14ac:dyDescent="0.3">
      <c r="A7" t="s">
        <v>72</v>
      </c>
      <c r="C7" t="s">
        <v>101</v>
      </c>
    </row>
    <row r="8" spans="1:3" x14ac:dyDescent="0.3">
      <c r="A8" t="s">
        <v>73</v>
      </c>
      <c r="C8" t="s">
        <v>101</v>
      </c>
    </row>
    <row r="9" spans="1:3" x14ac:dyDescent="0.3">
      <c r="A9" t="s">
        <v>74</v>
      </c>
      <c r="C9" t="s">
        <v>101</v>
      </c>
    </row>
    <row r="10" spans="1:3" x14ac:dyDescent="0.3">
      <c r="A10" t="s">
        <v>75</v>
      </c>
      <c r="C10" t="s">
        <v>101</v>
      </c>
    </row>
    <row r="11" spans="1:3" x14ac:dyDescent="0.3">
      <c r="A11" t="s">
        <v>76</v>
      </c>
      <c r="C11" t="s">
        <v>101</v>
      </c>
    </row>
    <row r="12" spans="1:3" x14ac:dyDescent="0.3">
      <c r="A12" t="s">
        <v>77</v>
      </c>
      <c r="C12" t="s">
        <v>101</v>
      </c>
    </row>
    <row r="13" spans="1:3" x14ac:dyDescent="0.3">
      <c r="A13" t="s">
        <v>78</v>
      </c>
      <c r="C13" t="s">
        <v>101</v>
      </c>
    </row>
    <row r="14" spans="1:3" x14ac:dyDescent="0.3">
      <c r="A14" t="s">
        <v>79</v>
      </c>
      <c r="C14" t="s">
        <v>101</v>
      </c>
    </row>
    <row r="15" spans="1:3" x14ac:dyDescent="0.3">
      <c r="A15" t="s">
        <v>80</v>
      </c>
      <c r="C15" t="s">
        <v>101</v>
      </c>
    </row>
    <row r="16" spans="1:3" x14ac:dyDescent="0.3">
      <c r="A16" t="s">
        <v>81</v>
      </c>
      <c r="C16" t="s">
        <v>101</v>
      </c>
    </row>
    <row r="17" spans="1:3" x14ac:dyDescent="0.3">
      <c r="A17" t="s">
        <v>82</v>
      </c>
      <c r="C17" t="s">
        <v>101</v>
      </c>
    </row>
    <row r="18" spans="1:3" x14ac:dyDescent="0.3">
      <c r="A18" t="s">
        <v>83</v>
      </c>
      <c r="C18" t="s">
        <v>101</v>
      </c>
    </row>
    <row r="19" spans="1:3" x14ac:dyDescent="0.3">
      <c r="A19" t="s">
        <v>84</v>
      </c>
      <c r="C19" t="s">
        <v>101</v>
      </c>
    </row>
    <row r="20" spans="1:3" x14ac:dyDescent="0.3">
      <c r="A20" t="s">
        <v>85</v>
      </c>
      <c r="C20" t="s">
        <v>101</v>
      </c>
    </row>
    <row r="21" spans="1:3" x14ac:dyDescent="0.3">
      <c r="A21" t="s">
        <v>86</v>
      </c>
      <c r="C21" t="s">
        <v>101</v>
      </c>
    </row>
    <row r="22" spans="1:3" x14ac:dyDescent="0.3">
      <c r="A22" t="s">
        <v>87</v>
      </c>
      <c r="C22" t="s">
        <v>101</v>
      </c>
    </row>
    <row r="23" spans="1:3" x14ac:dyDescent="0.3">
      <c r="A23" t="s">
        <v>88</v>
      </c>
      <c r="C23" t="s">
        <v>101</v>
      </c>
    </row>
    <row r="24" spans="1:3" x14ac:dyDescent="0.3">
      <c r="A24" t="s">
        <v>89</v>
      </c>
      <c r="C24" t="s">
        <v>101</v>
      </c>
    </row>
    <row r="25" spans="1:3" x14ac:dyDescent="0.3">
      <c r="A25" t="s">
        <v>90</v>
      </c>
      <c r="C25" t="s">
        <v>101</v>
      </c>
    </row>
    <row r="26" spans="1:3" x14ac:dyDescent="0.3">
      <c r="A26" t="s">
        <v>91</v>
      </c>
      <c r="C26" t="s">
        <v>101</v>
      </c>
    </row>
    <row r="27" spans="1:3" x14ac:dyDescent="0.3">
      <c r="A27" t="s">
        <v>92</v>
      </c>
      <c r="C27" t="s">
        <v>101</v>
      </c>
    </row>
    <row r="28" spans="1:3" x14ac:dyDescent="0.3">
      <c r="A28" t="s">
        <v>93</v>
      </c>
      <c r="C28" t="s">
        <v>101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06DF-F59E-4978-877E-59902228AC32}">
  <dimension ref="A1:D163"/>
  <sheetViews>
    <sheetView tabSelected="1" workbookViewId="0">
      <selection activeCell="H7" sqref="H7"/>
    </sheetView>
  </sheetViews>
  <sheetFormatPr defaultRowHeight="14.4" x14ac:dyDescent="0.3"/>
  <cols>
    <col min="1" max="1" width="16.33203125" bestFit="1" customWidth="1"/>
    <col min="3" max="3" width="23.109375" bestFit="1" customWidth="1"/>
  </cols>
  <sheetData>
    <row r="1" spans="1:4" x14ac:dyDescent="0.3">
      <c r="A1" s="1" t="s">
        <v>23</v>
      </c>
      <c r="B1" s="1" t="s">
        <v>65</v>
      </c>
      <c r="C1" s="1" t="s">
        <v>102</v>
      </c>
      <c r="D1" s="1" t="s">
        <v>66</v>
      </c>
    </row>
    <row r="2" spans="1:4" x14ac:dyDescent="0.3">
      <c r="A2" s="2" t="s">
        <v>29</v>
      </c>
      <c r="B2" s="2" t="s">
        <v>67</v>
      </c>
      <c r="C2" s="3">
        <f>[1]Ore_por_UF!E5</f>
        <v>0</v>
      </c>
      <c r="D2" s="2" t="s">
        <v>103</v>
      </c>
    </row>
    <row r="3" spans="1:4" x14ac:dyDescent="0.3">
      <c r="A3" s="2" t="s">
        <v>29</v>
      </c>
      <c r="B3" s="2" t="s">
        <v>68</v>
      </c>
      <c r="C3" s="3">
        <f>[1]Ore_por_UF!E6</f>
        <v>0</v>
      </c>
      <c r="D3" s="2" t="s">
        <v>103</v>
      </c>
    </row>
    <row r="4" spans="1:4" x14ac:dyDescent="0.3">
      <c r="A4" s="2" t="s">
        <v>29</v>
      </c>
      <c r="B4" s="2" t="s">
        <v>69</v>
      </c>
      <c r="C4" s="3">
        <f>[1]Ore_por_UF!E7</f>
        <v>0</v>
      </c>
      <c r="D4" s="2" t="s">
        <v>103</v>
      </c>
    </row>
    <row r="5" spans="1:4" x14ac:dyDescent="0.3">
      <c r="A5" s="2" t="s">
        <v>29</v>
      </c>
      <c r="B5" s="2" t="s">
        <v>70</v>
      </c>
      <c r="C5" s="3">
        <f>[1]Ore_por_UF!E8</f>
        <v>0</v>
      </c>
      <c r="D5" s="2" t="s">
        <v>103</v>
      </c>
    </row>
    <row r="6" spans="1:4" x14ac:dyDescent="0.3">
      <c r="A6" s="2" t="s">
        <v>29</v>
      </c>
      <c r="B6" s="2" t="s">
        <v>71</v>
      </c>
      <c r="C6" s="3">
        <f>[1]Ore_por_UF!E9</f>
        <v>0</v>
      </c>
      <c r="D6" s="2" t="s">
        <v>103</v>
      </c>
    </row>
    <row r="7" spans="1:4" x14ac:dyDescent="0.3">
      <c r="A7" s="2" t="s">
        <v>29</v>
      </c>
      <c r="B7" s="2" t="s">
        <v>72</v>
      </c>
      <c r="C7" s="3">
        <f>[1]Ore_por_UF!E10</f>
        <v>0</v>
      </c>
      <c r="D7" s="2" t="s">
        <v>103</v>
      </c>
    </row>
    <row r="8" spans="1:4" x14ac:dyDescent="0.3">
      <c r="A8" s="2" t="s">
        <v>29</v>
      </c>
      <c r="B8" s="2" t="s">
        <v>73</v>
      </c>
      <c r="C8" s="3">
        <f>[1]Ore_por_UF!E11</f>
        <v>0</v>
      </c>
      <c r="D8" s="2" t="s">
        <v>103</v>
      </c>
    </row>
    <row r="9" spans="1:4" x14ac:dyDescent="0.3">
      <c r="A9" s="2" t="s">
        <v>29</v>
      </c>
      <c r="B9" s="2" t="s">
        <v>74</v>
      </c>
      <c r="C9" s="3">
        <f>[1]Ore_por_UF!E12</f>
        <v>20.090437537091987</v>
      </c>
      <c r="D9" s="2" t="s">
        <v>103</v>
      </c>
    </row>
    <row r="10" spans="1:4" x14ac:dyDescent="0.3">
      <c r="A10" s="2" t="s">
        <v>29</v>
      </c>
      <c r="B10" s="2" t="s">
        <v>75</v>
      </c>
      <c r="C10" s="3">
        <f>[1]Ore_por_UF!E13</f>
        <v>0</v>
      </c>
      <c r="D10" s="2" t="s">
        <v>103</v>
      </c>
    </row>
    <row r="11" spans="1:4" x14ac:dyDescent="0.3">
      <c r="A11" s="2" t="s">
        <v>29</v>
      </c>
      <c r="B11" s="2" t="s">
        <v>76</v>
      </c>
      <c r="C11" s="3">
        <f>[1]Ore_por_UF!E14</f>
        <v>0</v>
      </c>
      <c r="D11" s="2" t="s">
        <v>103</v>
      </c>
    </row>
    <row r="12" spans="1:4" x14ac:dyDescent="0.3">
      <c r="A12" s="2" t="s">
        <v>29</v>
      </c>
      <c r="B12" s="2" t="s">
        <v>77</v>
      </c>
      <c r="C12" s="3">
        <f>[1]Ore_por_UF!E15</f>
        <v>0</v>
      </c>
      <c r="D12" s="2" t="s">
        <v>103</v>
      </c>
    </row>
    <row r="13" spans="1:4" x14ac:dyDescent="0.3">
      <c r="A13" s="2" t="s">
        <v>29</v>
      </c>
      <c r="B13" s="2" t="s">
        <v>78</v>
      </c>
      <c r="C13" s="3">
        <f>[1]Ore_por_UF!E16</f>
        <v>0</v>
      </c>
      <c r="D13" s="2" t="s">
        <v>103</v>
      </c>
    </row>
    <row r="14" spans="1:4" x14ac:dyDescent="0.3">
      <c r="A14" s="2" t="s">
        <v>29</v>
      </c>
      <c r="B14" s="2" t="s">
        <v>79</v>
      </c>
      <c r="C14" s="3">
        <f>[1]Ore_por_UF!E17</f>
        <v>0</v>
      </c>
      <c r="D14" s="2" t="s">
        <v>103</v>
      </c>
    </row>
    <row r="15" spans="1:4" x14ac:dyDescent="0.3">
      <c r="A15" s="2" t="s">
        <v>29</v>
      </c>
      <c r="B15" s="2" t="s">
        <v>80</v>
      </c>
      <c r="C15" s="3">
        <f>[1]Ore_por_UF!E18</f>
        <v>0</v>
      </c>
      <c r="D15" s="2" t="s">
        <v>103</v>
      </c>
    </row>
    <row r="16" spans="1:4" x14ac:dyDescent="0.3">
      <c r="A16" s="2" t="s">
        <v>29</v>
      </c>
      <c r="B16" s="2" t="s">
        <v>81</v>
      </c>
      <c r="C16" s="3">
        <f>[1]Ore_por_UF!E19</f>
        <v>0</v>
      </c>
      <c r="D16" s="2" t="s">
        <v>103</v>
      </c>
    </row>
    <row r="17" spans="1:4" x14ac:dyDescent="0.3">
      <c r="A17" s="2" t="s">
        <v>29</v>
      </c>
      <c r="B17" s="2" t="s">
        <v>82</v>
      </c>
      <c r="C17" s="3">
        <f>[1]Ore_por_UF!E20</f>
        <v>0</v>
      </c>
      <c r="D17" s="2" t="s">
        <v>103</v>
      </c>
    </row>
    <row r="18" spans="1:4" x14ac:dyDescent="0.3">
      <c r="A18" s="2" t="s">
        <v>29</v>
      </c>
      <c r="B18" s="2" t="s">
        <v>83</v>
      </c>
      <c r="C18" s="3">
        <f>[1]Ore_por_UF!E21</f>
        <v>0</v>
      </c>
      <c r="D18" s="2" t="s">
        <v>103</v>
      </c>
    </row>
    <row r="19" spans="1:4" x14ac:dyDescent="0.3">
      <c r="A19" s="2" t="s">
        <v>29</v>
      </c>
      <c r="B19" s="2" t="s">
        <v>84</v>
      </c>
      <c r="C19" s="3">
        <f>[1]Ore_por_UF!E22</f>
        <v>0</v>
      </c>
      <c r="D19" s="2" t="s">
        <v>103</v>
      </c>
    </row>
    <row r="20" spans="1:4" x14ac:dyDescent="0.3">
      <c r="A20" s="2" t="s">
        <v>29</v>
      </c>
      <c r="B20" s="2" t="s">
        <v>85</v>
      </c>
      <c r="C20" s="3">
        <f>[1]Ore_por_UF!E23</f>
        <v>21.614230211492625</v>
      </c>
      <c r="D20" s="2" t="s">
        <v>103</v>
      </c>
    </row>
    <row r="21" spans="1:4" x14ac:dyDescent="0.3">
      <c r="A21" s="2" t="s">
        <v>29</v>
      </c>
      <c r="B21" s="2" t="s">
        <v>86</v>
      </c>
      <c r="C21" s="3">
        <f>[1]Ore_por_UF!E24</f>
        <v>0</v>
      </c>
      <c r="D21" s="2" t="s">
        <v>103</v>
      </c>
    </row>
    <row r="22" spans="1:4" x14ac:dyDescent="0.3">
      <c r="A22" s="2" t="s">
        <v>29</v>
      </c>
      <c r="B22" s="2" t="s">
        <v>87</v>
      </c>
      <c r="C22" s="3">
        <f>[1]Ore_por_UF!E25</f>
        <v>0</v>
      </c>
      <c r="D22" s="2" t="s">
        <v>103</v>
      </c>
    </row>
    <row r="23" spans="1:4" x14ac:dyDescent="0.3">
      <c r="A23" s="2" t="s">
        <v>29</v>
      </c>
      <c r="B23" s="2" t="s">
        <v>88</v>
      </c>
      <c r="C23" s="3">
        <f>[1]Ore_por_UF!E26</f>
        <v>0</v>
      </c>
      <c r="D23" s="2" t="s">
        <v>103</v>
      </c>
    </row>
    <row r="24" spans="1:4" x14ac:dyDescent="0.3">
      <c r="A24" s="2" t="s">
        <v>29</v>
      </c>
      <c r="B24" s="2" t="s">
        <v>89</v>
      </c>
      <c r="C24" s="3">
        <f>[1]Ore_por_UF!E27</f>
        <v>0</v>
      </c>
      <c r="D24" s="2" t="s">
        <v>103</v>
      </c>
    </row>
    <row r="25" spans="1:4" x14ac:dyDescent="0.3">
      <c r="A25" s="2" t="s">
        <v>29</v>
      </c>
      <c r="B25" s="2" t="s">
        <v>90</v>
      </c>
      <c r="C25" s="3">
        <f>[1]Ore_por_UF!E28</f>
        <v>0</v>
      </c>
      <c r="D25" s="2" t="s">
        <v>103</v>
      </c>
    </row>
    <row r="26" spans="1:4" x14ac:dyDescent="0.3">
      <c r="A26" s="2" t="s">
        <v>29</v>
      </c>
      <c r="B26" s="2" t="s">
        <v>91</v>
      </c>
      <c r="C26" s="3">
        <f>[1]Ore_por_UF!E29</f>
        <v>0</v>
      </c>
      <c r="D26" s="2" t="s">
        <v>103</v>
      </c>
    </row>
    <row r="27" spans="1:4" x14ac:dyDescent="0.3">
      <c r="A27" s="2" t="s">
        <v>29</v>
      </c>
      <c r="B27" s="2" t="s">
        <v>92</v>
      </c>
      <c r="C27" s="3">
        <f>[1]Ore_por_UF!E30</f>
        <v>0</v>
      </c>
      <c r="D27" s="2" t="s">
        <v>103</v>
      </c>
    </row>
    <row r="28" spans="1:4" x14ac:dyDescent="0.3">
      <c r="A28" s="2" t="s">
        <v>29</v>
      </c>
      <c r="B28" s="2" t="s">
        <v>93</v>
      </c>
      <c r="C28" s="3">
        <f>[1]Ore_por_UF!E31</f>
        <v>0</v>
      </c>
      <c r="D28" s="2" t="s">
        <v>103</v>
      </c>
    </row>
    <row r="29" spans="1:4" x14ac:dyDescent="0.3">
      <c r="A29" s="2" t="s">
        <v>30</v>
      </c>
      <c r="B29" s="2" t="s">
        <v>67</v>
      </c>
      <c r="C29" s="3">
        <f>[1]Ore_por_UF!E5</f>
        <v>0</v>
      </c>
      <c r="D29" s="2" t="s">
        <v>103</v>
      </c>
    </row>
    <row r="30" spans="1:4" x14ac:dyDescent="0.3">
      <c r="A30" s="2" t="s">
        <v>30</v>
      </c>
      <c r="B30" s="2" t="s">
        <v>68</v>
      </c>
      <c r="C30" s="3">
        <f>[1]Ore_por_UF!E6</f>
        <v>0</v>
      </c>
      <c r="D30" s="2" t="s">
        <v>103</v>
      </c>
    </row>
    <row r="31" spans="1:4" x14ac:dyDescent="0.3">
      <c r="A31" s="2" t="s">
        <v>30</v>
      </c>
      <c r="B31" s="2" t="s">
        <v>69</v>
      </c>
      <c r="C31" s="3">
        <f>[1]Ore_por_UF!E7</f>
        <v>0</v>
      </c>
      <c r="D31" s="2" t="s">
        <v>103</v>
      </c>
    </row>
    <row r="32" spans="1:4" x14ac:dyDescent="0.3">
      <c r="A32" s="2" t="s">
        <v>30</v>
      </c>
      <c r="B32" s="2" t="s">
        <v>70</v>
      </c>
      <c r="C32" s="3">
        <f>[1]Ore_por_UF!E8</f>
        <v>0</v>
      </c>
      <c r="D32" s="2" t="s">
        <v>103</v>
      </c>
    </row>
    <row r="33" spans="1:4" x14ac:dyDescent="0.3">
      <c r="A33" s="2" t="s">
        <v>30</v>
      </c>
      <c r="B33" s="2" t="s">
        <v>71</v>
      </c>
      <c r="C33" s="3">
        <f>[1]Ore_por_UF!E9</f>
        <v>0</v>
      </c>
      <c r="D33" s="2" t="s">
        <v>103</v>
      </c>
    </row>
    <row r="34" spans="1:4" x14ac:dyDescent="0.3">
      <c r="A34" s="2" t="s">
        <v>30</v>
      </c>
      <c r="B34" s="2" t="s">
        <v>72</v>
      </c>
      <c r="C34" s="3">
        <f>[1]Ore_por_UF!E10</f>
        <v>0</v>
      </c>
      <c r="D34" s="2" t="s">
        <v>103</v>
      </c>
    </row>
    <row r="35" spans="1:4" x14ac:dyDescent="0.3">
      <c r="A35" s="2" t="s">
        <v>30</v>
      </c>
      <c r="B35" s="2" t="s">
        <v>73</v>
      </c>
      <c r="C35" s="3">
        <f>[1]Ore_por_UF!E11</f>
        <v>0</v>
      </c>
      <c r="D35" s="2" t="s">
        <v>103</v>
      </c>
    </row>
    <row r="36" spans="1:4" x14ac:dyDescent="0.3">
      <c r="A36" s="2" t="s">
        <v>30</v>
      </c>
      <c r="B36" s="2" t="s">
        <v>74</v>
      </c>
      <c r="C36" s="3">
        <f>[1]Ore_por_UF!E12</f>
        <v>20.090437537091987</v>
      </c>
      <c r="D36" s="2" t="s">
        <v>103</v>
      </c>
    </row>
    <row r="37" spans="1:4" x14ac:dyDescent="0.3">
      <c r="A37" s="2" t="s">
        <v>30</v>
      </c>
      <c r="B37" s="2" t="s">
        <v>75</v>
      </c>
      <c r="C37" s="3">
        <f>[1]Ore_por_UF!E13</f>
        <v>0</v>
      </c>
      <c r="D37" s="2" t="s">
        <v>103</v>
      </c>
    </row>
    <row r="38" spans="1:4" x14ac:dyDescent="0.3">
      <c r="A38" s="2" t="s">
        <v>30</v>
      </c>
      <c r="B38" s="2" t="s">
        <v>76</v>
      </c>
      <c r="C38" s="3">
        <f>[1]Ore_por_UF!E14</f>
        <v>0</v>
      </c>
      <c r="D38" s="2" t="s">
        <v>103</v>
      </c>
    </row>
    <row r="39" spans="1:4" x14ac:dyDescent="0.3">
      <c r="A39" s="2" t="s">
        <v>30</v>
      </c>
      <c r="B39" s="2" t="s">
        <v>77</v>
      </c>
      <c r="C39" s="3">
        <f>[1]Ore_por_UF!E15</f>
        <v>0</v>
      </c>
      <c r="D39" s="2" t="s">
        <v>103</v>
      </c>
    </row>
    <row r="40" spans="1:4" x14ac:dyDescent="0.3">
      <c r="A40" s="2" t="s">
        <v>30</v>
      </c>
      <c r="B40" s="2" t="s">
        <v>78</v>
      </c>
      <c r="C40" s="3">
        <f>[1]Ore_por_UF!E16</f>
        <v>0</v>
      </c>
      <c r="D40" s="2" t="s">
        <v>103</v>
      </c>
    </row>
    <row r="41" spans="1:4" x14ac:dyDescent="0.3">
      <c r="A41" s="2" t="s">
        <v>30</v>
      </c>
      <c r="B41" s="2" t="s">
        <v>79</v>
      </c>
      <c r="C41" s="3">
        <f>[1]Ore_por_UF!E17</f>
        <v>0</v>
      </c>
      <c r="D41" s="2" t="s">
        <v>103</v>
      </c>
    </row>
    <row r="42" spans="1:4" x14ac:dyDescent="0.3">
      <c r="A42" s="2" t="s">
        <v>30</v>
      </c>
      <c r="B42" s="2" t="s">
        <v>80</v>
      </c>
      <c r="C42" s="3">
        <f>[1]Ore_por_UF!E18</f>
        <v>0</v>
      </c>
      <c r="D42" s="2" t="s">
        <v>103</v>
      </c>
    </row>
    <row r="43" spans="1:4" x14ac:dyDescent="0.3">
      <c r="A43" s="2" t="s">
        <v>30</v>
      </c>
      <c r="B43" s="2" t="s">
        <v>81</v>
      </c>
      <c r="C43" s="3">
        <f>[1]Ore_por_UF!E19</f>
        <v>0</v>
      </c>
      <c r="D43" s="2" t="s">
        <v>103</v>
      </c>
    </row>
    <row r="44" spans="1:4" x14ac:dyDescent="0.3">
      <c r="A44" s="2" t="s">
        <v>30</v>
      </c>
      <c r="B44" s="2" t="s">
        <v>82</v>
      </c>
      <c r="C44" s="3">
        <f>[1]Ore_por_UF!E20</f>
        <v>0</v>
      </c>
      <c r="D44" s="2" t="s">
        <v>103</v>
      </c>
    </row>
    <row r="45" spans="1:4" x14ac:dyDescent="0.3">
      <c r="A45" s="2" t="s">
        <v>30</v>
      </c>
      <c r="B45" s="2" t="s">
        <v>83</v>
      </c>
      <c r="C45" s="3">
        <f>[1]Ore_por_UF!E21</f>
        <v>0</v>
      </c>
      <c r="D45" s="2" t="s">
        <v>103</v>
      </c>
    </row>
    <row r="46" spans="1:4" x14ac:dyDescent="0.3">
      <c r="A46" s="2" t="s">
        <v>30</v>
      </c>
      <c r="B46" s="2" t="s">
        <v>84</v>
      </c>
      <c r="C46" s="3">
        <f>[1]Ore_por_UF!E22</f>
        <v>0</v>
      </c>
      <c r="D46" s="2" t="s">
        <v>103</v>
      </c>
    </row>
    <row r="47" spans="1:4" x14ac:dyDescent="0.3">
      <c r="A47" s="2" t="s">
        <v>30</v>
      </c>
      <c r="B47" s="2" t="s">
        <v>85</v>
      </c>
      <c r="C47" s="3">
        <f>[1]Ore_por_UF!E23</f>
        <v>21.614230211492625</v>
      </c>
      <c r="D47" s="2" t="s">
        <v>103</v>
      </c>
    </row>
    <row r="48" spans="1:4" x14ac:dyDescent="0.3">
      <c r="A48" s="2" t="s">
        <v>30</v>
      </c>
      <c r="B48" s="2" t="s">
        <v>86</v>
      </c>
      <c r="C48" s="3">
        <f>[1]Ore_por_UF!E24</f>
        <v>0</v>
      </c>
      <c r="D48" s="2" t="s">
        <v>103</v>
      </c>
    </row>
    <row r="49" spans="1:4" x14ac:dyDescent="0.3">
      <c r="A49" s="2" t="s">
        <v>30</v>
      </c>
      <c r="B49" s="2" t="s">
        <v>87</v>
      </c>
      <c r="C49" s="3">
        <f>[1]Ore_por_UF!E25</f>
        <v>0</v>
      </c>
      <c r="D49" s="2" t="s">
        <v>103</v>
      </c>
    </row>
    <row r="50" spans="1:4" x14ac:dyDescent="0.3">
      <c r="A50" s="2" t="s">
        <v>30</v>
      </c>
      <c r="B50" s="2" t="s">
        <v>88</v>
      </c>
      <c r="C50" s="3">
        <f>[1]Ore_por_UF!E26</f>
        <v>0</v>
      </c>
      <c r="D50" s="2" t="s">
        <v>103</v>
      </c>
    </row>
    <row r="51" spans="1:4" x14ac:dyDescent="0.3">
      <c r="A51" s="2" t="s">
        <v>30</v>
      </c>
      <c r="B51" s="2" t="s">
        <v>89</v>
      </c>
      <c r="C51" s="3">
        <f>[1]Ore_por_UF!E27</f>
        <v>0</v>
      </c>
      <c r="D51" s="2" t="s">
        <v>103</v>
      </c>
    </row>
    <row r="52" spans="1:4" x14ac:dyDescent="0.3">
      <c r="A52" s="2" t="s">
        <v>30</v>
      </c>
      <c r="B52" s="2" t="s">
        <v>90</v>
      </c>
      <c r="C52" s="3">
        <f>[1]Ore_por_UF!E28</f>
        <v>0</v>
      </c>
      <c r="D52" s="2" t="s">
        <v>103</v>
      </c>
    </row>
    <row r="53" spans="1:4" x14ac:dyDescent="0.3">
      <c r="A53" s="2" t="s">
        <v>30</v>
      </c>
      <c r="B53" s="2" t="s">
        <v>91</v>
      </c>
      <c r="C53" s="3">
        <f>[1]Ore_por_UF!E29</f>
        <v>0</v>
      </c>
      <c r="D53" s="2" t="s">
        <v>103</v>
      </c>
    </row>
    <row r="54" spans="1:4" x14ac:dyDescent="0.3">
      <c r="A54" s="2" t="s">
        <v>30</v>
      </c>
      <c r="B54" s="2" t="s">
        <v>92</v>
      </c>
      <c r="C54" s="3">
        <f>[1]Ore_por_UF!E30</f>
        <v>0</v>
      </c>
      <c r="D54" s="2" t="s">
        <v>103</v>
      </c>
    </row>
    <row r="55" spans="1:4" x14ac:dyDescent="0.3">
      <c r="A55" s="2" t="s">
        <v>30</v>
      </c>
      <c r="B55" s="2" t="s">
        <v>93</v>
      </c>
      <c r="C55" s="3">
        <f>[1]Ore_por_UF!E31</f>
        <v>0</v>
      </c>
      <c r="D55" s="2" t="s">
        <v>103</v>
      </c>
    </row>
    <row r="56" spans="1:4" x14ac:dyDescent="0.3">
      <c r="A56" s="2" t="s">
        <v>31</v>
      </c>
      <c r="B56" s="2" t="s">
        <v>67</v>
      </c>
      <c r="C56" s="3">
        <f>[1]Ore_por_UF!E5</f>
        <v>0</v>
      </c>
      <c r="D56" s="2" t="s">
        <v>103</v>
      </c>
    </row>
    <row r="57" spans="1:4" x14ac:dyDescent="0.3">
      <c r="A57" s="2" t="s">
        <v>31</v>
      </c>
      <c r="B57" s="2" t="s">
        <v>68</v>
      </c>
      <c r="C57" s="3">
        <f>[1]Ore_por_UF!E6</f>
        <v>0</v>
      </c>
      <c r="D57" s="2" t="s">
        <v>103</v>
      </c>
    </row>
    <row r="58" spans="1:4" x14ac:dyDescent="0.3">
      <c r="A58" s="2" t="s">
        <v>31</v>
      </c>
      <c r="B58" s="2" t="s">
        <v>69</v>
      </c>
      <c r="C58" s="3">
        <f>[1]Ore_por_UF!E7</f>
        <v>0</v>
      </c>
      <c r="D58" s="2" t="s">
        <v>103</v>
      </c>
    </row>
    <row r="59" spans="1:4" x14ac:dyDescent="0.3">
      <c r="A59" s="2" t="s">
        <v>31</v>
      </c>
      <c r="B59" s="2" t="s">
        <v>70</v>
      </c>
      <c r="C59" s="3">
        <f>[1]Ore_por_UF!E8</f>
        <v>0</v>
      </c>
      <c r="D59" s="2" t="s">
        <v>103</v>
      </c>
    </row>
    <row r="60" spans="1:4" x14ac:dyDescent="0.3">
      <c r="A60" s="2" t="s">
        <v>31</v>
      </c>
      <c r="B60" s="2" t="s">
        <v>71</v>
      </c>
      <c r="C60" s="3">
        <f>[1]Ore_por_UF!E9</f>
        <v>0</v>
      </c>
      <c r="D60" s="2" t="s">
        <v>103</v>
      </c>
    </row>
    <row r="61" spans="1:4" x14ac:dyDescent="0.3">
      <c r="A61" s="2" t="s">
        <v>31</v>
      </c>
      <c r="B61" s="2" t="s">
        <v>72</v>
      </c>
      <c r="C61" s="3">
        <f>[1]Ore_por_UF!E10</f>
        <v>0</v>
      </c>
      <c r="D61" s="2" t="s">
        <v>103</v>
      </c>
    </row>
    <row r="62" spans="1:4" x14ac:dyDescent="0.3">
      <c r="A62" s="2" t="s">
        <v>31</v>
      </c>
      <c r="B62" s="2" t="s">
        <v>73</v>
      </c>
      <c r="C62" s="3">
        <f>[1]Ore_por_UF!E11</f>
        <v>0</v>
      </c>
      <c r="D62" s="2" t="s">
        <v>103</v>
      </c>
    </row>
    <row r="63" spans="1:4" x14ac:dyDescent="0.3">
      <c r="A63" s="2" t="s">
        <v>31</v>
      </c>
      <c r="B63" s="2" t="s">
        <v>74</v>
      </c>
      <c r="C63" s="3">
        <f>[1]Ore_por_UF!E12</f>
        <v>20.090437537091987</v>
      </c>
      <c r="D63" s="2" t="s">
        <v>103</v>
      </c>
    </row>
    <row r="64" spans="1:4" x14ac:dyDescent="0.3">
      <c r="A64" s="2" t="s">
        <v>31</v>
      </c>
      <c r="B64" s="2" t="s">
        <v>75</v>
      </c>
      <c r="C64" s="3">
        <f>[1]Ore_por_UF!E13</f>
        <v>0</v>
      </c>
      <c r="D64" s="2" t="s">
        <v>103</v>
      </c>
    </row>
    <row r="65" spans="1:4" x14ac:dyDescent="0.3">
      <c r="A65" s="2" t="s">
        <v>31</v>
      </c>
      <c r="B65" s="2" t="s">
        <v>76</v>
      </c>
      <c r="C65" s="3">
        <f>[1]Ore_por_UF!E14</f>
        <v>0</v>
      </c>
      <c r="D65" s="2" t="s">
        <v>103</v>
      </c>
    </row>
    <row r="66" spans="1:4" x14ac:dyDescent="0.3">
      <c r="A66" s="2" t="s">
        <v>31</v>
      </c>
      <c r="B66" s="2" t="s">
        <v>77</v>
      </c>
      <c r="C66" s="3">
        <f>[1]Ore_por_UF!E15</f>
        <v>0</v>
      </c>
      <c r="D66" s="2" t="s">
        <v>103</v>
      </c>
    </row>
    <row r="67" spans="1:4" x14ac:dyDescent="0.3">
      <c r="A67" s="2" t="s">
        <v>31</v>
      </c>
      <c r="B67" s="2" t="s">
        <v>78</v>
      </c>
      <c r="C67" s="3">
        <f>[1]Ore_por_UF!E16</f>
        <v>0</v>
      </c>
      <c r="D67" s="2" t="s">
        <v>103</v>
      </c>
    </row>
    <row r="68" spans="1:4" x14ac:dyDescent="0.3">
      <c r="A68" s="2" t="s">
        <v>31</v>
      </c>
      <c r="B68" s="2" t="s">
        <v>79</v>
      </c>
      <c r="C68" s="3">
        <f>[1]Ore_por_UF!E17</f>
        <v>0</v>
      </c>
      <c r="D68" s="2" t="s">
        <v>103</v>
      </c>
    </row>
    <row r="69" spans="1:4" x14ac:dyDescent="0.3">
      <c r="A69" s="2" t="s">
        <v>31</v>
      </c>
      <c r="B69" s="2" t="s">
        <v>80</v>
      </c>
      <c r="C69" s="3">
        <f>[1]Ore_por_UF!E18</f>
        <v>0</v>
      </c>
      <c r="D69" s="2" t="s">
        <v>103</v>
      </c>
    </row>
    <row r="70" spans="1:4" x14ac:dyDescent="0.3">
      <c r="A70" s="2" t="s">
        <v>31</v>
      </c>
      <c r="B70" s="2" t="s">
        <v>81</v>
      </c>
      <c r="C70" s="3">
        <f>[1]Ore_por_UF!E19</f>
        <v>0</v>
      </c>
      <c r="D70" s="2" t="s">
        <v>103</v>
      </c>
    </row>
    <row r="71" spans="1:4" x14ac:dyDescent="0.3">
      <c r="A71" s="2" t="s">
        <v>31</v>
      </c>
      <c r="B71" s="2" t="s">
        <v>82</v>
      </c>
      <c r="C71" s="3">
        <f>[1]Ore_por_UF!E20</f>
        <v>0</v>
      </c>
      <c r="D71" s="2" t="s">
        <v>103</v>
      </c>
    </row>
    <row r="72" spans="1:4" x14ac:dyDescent="0.3">
      <c r="A72" s="2" t="s">
        <v>31</v>
      </c>
      <c r="B72" s="2" t="s">
        <v>83</v>
      </c>
      <c r="C72" s="3">
        <f>[1]Ore_por_UF!E21</f>
        <v>0</v>
      </c>
      <c r="D72" s="2" t="s">
        <v>103</v>
      </c>
    </row>
    <row r="73" spans="1:4" x14ac:dyDescent="0.3">
      <c r="A73" s="2" t="s">
        <v>31</v>
      </c>
      <c r="B73" s="2" t="s">
        <v>84</v>
      </c>
      <c r="C73" s="3">
        <f>[1]Ore_por_UF!E22</f>
        <v>0</v>
      </c>
      <c r="D73" s="2" t="s">
        <v>103</v>
      </c>
    </row>
    <row r="74" spans="1:4" x14ac:dyDescent="0.3">
      <c r="A74" s="2" t="s">
        <v>31</v>
      </c>
      <c r="B74" s="2" t="s">
        <v>85</v>
      </c>
      <c r="C74" s="3">
        <f>[1]Ore_por_UF!E23</f>
        <v>21.614230211492625</v>
      </c>
      <c r="D74" s="2" t="s">
        <v>103</v>
      </c>
    </row>
    <row r="75" spans="1:4" x14ac:dyDescent="0.3">
      <c r="A75" s="2" t="s">
        <v>31</v>
      </c>
      <c r="B75" s="2" t="s">
        <v>86</v>
      </c>
      <c r="C75" s="3">
        <f>[1]Ore_por_UF!E24</f>
        <v>0</v>
      </c>
      <c r="D75" s="2" t="s">
        <v>103</v>
      </c>
    </row>
    <row r="76" spans="1:4" x14ac:dyDescent="0.3">
      <c r="A76" s="2" t="s">
        <v>31</v>
      </c>
      <c r="B76" s="2" t="s">
        <v>87</v>
      </c>
      <c r="C76" s="3">
        <f>[1]Ore_por_UF!E25</f>
        <v>0</v>
      </c>
      <c r="D76" s="2" t="s">
        <v>103</v>
      </c>
    </row>
    <row r="77" spans="1:4" x14ac:dyDescent="0.3">
      <c r="A77" s="2" t="s">
        <v>31</v>
      </c>
      <c r="B77" s="2" t="s">
        <v>88</v>
      </c>
      <c r="C77" s="3">
        <f>[1]Ore_por_UF!E26</f>
        <v>0</v>
      </c>
      <c r="D77" s="2" t="s">
        <v>103</v>
      </c>
    </row>
    <row r="78" spans="1:4" x14ac:dyDescent="0.3">
      <c r="A78" s="2" t="s">
        <v>31</v>
      </c>
      <c r="B78" s="2" t="s">
        <v>89</v>
      </c>
      <c r="C78" s="3">
        <f>[1]Ore_por_UF!E27</f>
        <v>0</v>
      </c>
      <c r="D78" s="2" t="s">
        <v>103</v>
      </c>
    </row>
    <row r="79" spans="1:4" x14ac:dyDescent="0.3">
      <c r="A79" s="2" t="s">
        <v>31</v>
      </c>
      <c r="B79" s="2" t="s">
        <v>90</v>
      </c>
      <c r="C79" s="3">
        <f>[1]Ore_por_UF!E28</f>
        <v>0</v>
      </c>
      <c r="D79" s="2" t="s">
        <v>103</v>
      </c>
    </row>
    <row r="80" spans="1:4" x14ac:dyDescent="0.3">
      <c r="A80" s="2" t="s">
        <v>31</v>
      </c>
      <c r="B80" s="2" t="s">
        <v>91</v>
      </c>
      <c r="C80" s="3">
        <f>[1]Ore_por_UF!E29</f>
        <v>0</v>
      </c>
      <c r="D80" s="2" t="s">
        <v>103</v>
      </c>
    </row>
    <row r="81" spans="1:4" x14ac:dyDescent="0.3">
      <c r="A81" s="2" t="s">
        <v>31</v>
      </c>
      <c r="B81" s="2" t="s">
        <v>92</v>
      </c>
      <c r="C81" s="3">
        <f>[1]Ore_por_UF!E30</f>
        <v>0</v>
      </c>
      <c r="D81" s="2" t="s">
        <v>103</v>
      </c>
    </row>
    <row r="82" spans="1:4" x14ac:dyDescent="0.3">
      <c r="A82" s="2" t="s">
        <v>31</v>
      </c>
      <c r="B82" s="2" t="s">
        <v>93</v>
      </c>
      <c r="C82" s="3">
        <f>[1]Ore_por_UF!E31</f>
        <v>0</v>
      </c>
      <c r="D82" s="2" t="s">
        <v>103</v>
      </c>
    </row>
    <row r="83" spans="1:4" x14ac:dyDescent="0.3">
      <c r="A83" s="2" t="s">
        <v>35</v>
      </c>
      <c r="B83" s="2" t="s">
        <v>67</v>
      </c>
      <c r="C83" s="3">
        <f>[1]Ore_por_UF!E5</f>
        <v>0</v>
      </c>
      <c r="D83" s="2" t="s">
        <v>103</v>
      </c>
    </row>
    <row r="84" spans="1:4" x14ac:dyDescent="0.3">
      <c r="A84" s="2" t="s">
        <v>35</v>
      </c>
      <c r="B84" s="2" t="s">
        <v>68</v>
      </c>
      <c r="C84" s="3">
        <f>[1]Ore_por_UF!E6</f>
        <v>0</v>
      </c>
      <c r="D84" s="2" t="s">
        <v>103</v>
      </c>
    </row>
    <row r="85" spans="1:4" x14ac:dyDescent="0.3">
      <c r="A85" s="2" t="s">
        <v>35</v>
      </c>
      <c r="B85" s="2" t="s">
        <v>69</v>
      </c>
      <c r="C85" s="3">
        <f>[1]Ore_por_UF!E7</f>
        <v>0</v>
      </c>
      <c r="D85" s="2" t="s">
        <v>103</v>
      </c>
    </row>
    <row r="86" spans="1:4" x14ac:dyDescent="0.3">
      <c r="A86" s="2" t="s">
        <v>35</v>
      </c>
      <c r="B86" s="2" t="s">
        <v>70</v>
      </c>
      <c r="C86" s="3">
        <f>[1]Ore_por_UF!E8</f>
        <v>0</v>
      </c>
      <c r="D86" s="2" t="s">
        <v>103</v>
      </c>
    </row>
    <row r="87" spans="1:4" x14ac:dyDescent="0.3">
      <c r="A87" s="2" t="s">
        <v>35</v>
      </c>
      <c r="B87" s="2" t="s">
        <v>71</v>
      </c>
      <c r="C87" s="3">
        <f>[1]Ore_por_UF!E9</f>
        <v>0</v>
      </c>
      <c r="D87" s="2" t="s">
        <v>103</v>
      </c>
    </row>
    <row r="88" spans="1:4" x14ac:dyDescent="0.3">
      <c r="A88" s="2" t="s">
        <v>35</v>
      </c>
      <c r="B88" s="2" t="s">
        <v>72</v>
      </c>
      <c r="C88" s="3">
        <f>[1]Ore_por_UF!E10</f>
        <v>0</v>
      </c>
      <c r="D88" s="2" t="s">
        <v>103</v>
      </c>
    </row>
    <row r="89" spans="1:4" x14ac:dyDescent="0.3">
      <c r="A89" s="2" t="s">
        <v>35</v>
      </c>
      <c r="B89" s="2" t="s">
        <v>73</v>
      </c>
      <c r="C89" s="3">
        <f>[1]Ore_por_UF!E11</f>
        <v>0</v>
      </c>
      <c r="D89" s="2" t="s">
        <v>103</v>
      </c>
    </row>
    <row r="90" spans="1:4" x14ac:dyDescent="0.3">
      <c r="A90" s="2" t="s">
        <v>35</v>
      </c>
      <c r="B90" s="2" t="s">
        <v>74</v>
      </c>
      <c r="C90" s="3">
        <f>[1]Ore_por_UF!E12</f>
        <v>20.090437537091987</v>
      </c>
      <c r="D90" s="2" t="s">
        <v>103</v>
      </c>
    </row>
    <row r="91" spans="1:4" x14ac:dyDescent="0.3">
      <c r="A91" s="2" t="s">
        <v>35</v>
      </c>
      <c r="B91" s="2" t="s">
        <v>75</v>
      </c>
      <c r="C91" s="3">
        <f>[1]Ore_por_UF!E13</f>
        <v>0</v>
      </c>
      <c r="D91" s="2" t="s">
        <v>103</v>
      </c>
    </row>
    <row r="92" spans="1:4" x14ac:dyDescent="0.3">
      <c r="A92" s="2" t="s">
        <v>35</v>
      </c>
      <c r="B92" s="2" t="s">
        <v>76</v>
      </c>
      <c r="C92" s="3">
        <f>[1]Ore_por_UF!E14</f>
        <v>0</v>
      </c>
      <c r="D92" s="2" t="s">
        <v>103</v>
      </c>
    </row>
    <row r="93" spans="1:4" x14ac:dyDescent="0.3">
      <c r="A93" s="2" t="s">
        <v>35</v>
      </c>
      <c r="B93" s="2" t="s">
        <v>77</v>
      </c>
      <c r="C93" s="3">
        <f>[1]Ore_por_UF!E15</f>
        <v>0</v>
      </c>
      <c r="D93" s="2" t="s">
        <v>103</v>
      </c>
    </row>
    <row r="94" spans="1:4" x14ac:dyDescent="0.3">
      <c r="A94" s="2" t="s">
        <v>35</v>
      </c>
      <c r="B94" s="2" t="s">
        <v>78</v>
      </c>
      <c r="C94" s="3">
        <f>[1]Ore_por_UF!E16</f>
        <v>0</v>
      </c>
      <c r="D94" s="2" t="s">
        <v>103</v>
      </c>
    </row>
    <row r="95" spans="1:4" x14ac:dyDescent="0.3">
      <c r="A95" s="2" t="s">
        <v>35</v>
      </c>
      <c r="B95" s="2" t="s">
        <v>79</v>
      </c>
      <c r="C95" s="3">
        <f>[1]Ore_por_UF!E17</f>
        <v>0</v>
      </c>
      <c r="D95" s="2" t="s">
        <v>103</v>
      </c>
    </row>
    <row r="96" spans="1:4" x14ac:dyDescent="0.3">
      <c r="A96" s="2" t="s">
        <v>35</v>
      </c>
      <c r="B96" s="2" t="s">
        <v>80</v>
      </c>
      <c r="C96" s="3">
        <f>[1]Ore_por_UF!E18</f>
        <v>0</v>
      </c>
      <c r="D96" s="2" t="s">
        <v>103</v>
      </c>
    </row>
    <row r="97" spans="1:4" x14ac:dyDescent="0.3">
      <c r="A97" s="2" t="s">
        <v>35</v>
      </c>
      <c r="B97" s="2" t="s">
        <v>81</v>
      </c>
      <c r="C97" s="3">
        <f>[1]Ore_por_UF!E19</f>
        <v>0</v>
      </c>
      <c r="D97" s="2" t="s">
        <v>103</v>
      </c>
    </row>
    <row r="98" spans="1:4" x14ac:dyDescent="0.3">
      <c r="A98" s="2" t="s">
        <v>35</v>
      </c>
      <c r="B98" s="2" t="s">
        <v>82</v>
      </c>
      <c r="C98" s="3">
        <f>[1]Ore_por_UF!E20</f>
        <v>0</v>
      </c>
      <c r="D98" s="2" t="s">
        <v>103</v>
      </c>
    </row>
    <row r="99" spans="1:4" x14ac:dyDescent="0.3">
      <c r="A99" s="2" t="s">
        <v>35</v>
      </c>
      <c r="B99" s="2" t="s">
        <v>83</v>
      </c>
      <c r="C99" s="3">
        <f>[1]Ore_por_UF!E21</f>
        <v>0</v>
      </c>
      <c r="D99" s="2" t="s">
        <v>103</v>
      </c>
    </row>
    <row r="100" spans="1:4" x14ac:dyDescent="0.3">
      <c r="A100" s="2" t="s">
        <v>35</v>
      </c>
      <c r="B100" s="2" t="s">
        <v>84</v>
      </c>
      <c r="C100" s="3">
        <f>[1]Ore_por_UF!E22</f>
        <v>0</v>
      </c>
      <c r="D100" s="2" t="s">
        <v>103</v>
      </c>
    </row>
    <row r="101" spans="1:4" x14ac:dyDescent="0.3">
      <c r="A101" s="2" t="s">
        <v>35</v>
      </c>
      <c r="B101" s="2" t="s">
        <v>85</v>
      </c>
      <c r="C101" s="3">
        <f>[1]Ore_por_UF!E23</f>
        <v>21.614230211492625</v>
      </c>
      <c r="D101" s="2" t="s">
        <v>103</v>
      </c>
    </row>
    <row r="102" spans="1:4" x14ac:dyDescent="0.3">
      <c r="A102" s="2" t="s">
        <v>35</v>
      </c>
      <c r="B102" s="2" t="s">
        <v>86</v>
      </c>
      <c r="C102" s="3">
        <f>[1]Ore_por_UF!E24</f>
        <v>0</v>
      </c>
      <c r="D102" s="2" t="s">
        <v>103</v>
      </c>
    </row>
    <row r="103" spans="1:4" x14ac:dyDescent="0.3">
      <c r="A103" s="2" t="s">
        <v>35</v>
      </c>
      <c r="B103" s="2" t="s">
        <v>87</v>
      </c>
      <c r="C103" s="3">
        <f>[1]Ore_por_UF!E25</f>
        <v>0</v>
      </c>
      <c r="D103" s="2" t="s">
        <v>103</v>
      </c>
    </row>
    <row r="104" spans="1:4" x14ac:dyDescent="0.3">
      <c r="A104" s="2" t="s">
        <v>35</v>
      </c>
      <c r="B104" s="2" t="s">
        <v>88</v>
      </c>
      <c r="C104" s="3">
        <f>[1]Ore_por_UF!E26</f>
        <v>0</v>
      </c>
      <c r="D104" s="2" t="s">
        <v>103</v>
      </c>
    </row>
    <row r="105" spans="1:4" x14ac:dyDescent="0.3">
      <c r="A105" s="2" t="s">
        <v>35</v>
      </c>
      <c r="B105" s="2" t="s">
        <v>89</v>
      </c>
      <c r="C105" s="3">
        <f>[1]Ore_por_UF!E27</f>
        <v>0</v>
      </c>
      <c r="D105" s="2" t="s">
        <v>103</v>
      </c>
    </row>
    <row r="106" spans="1:4" x14ac:dyDescent="0.3">
      <c r="A106" s="2" t="s">
        <v>35</v>
      </c>
      <c r="B106" s="2" t="s">
        <v>90</v>
      </c>
      <c r="C106" s="3">
        <f>[1]Ore_por_UF!E28</f>
        <v>0</v>
      </c>
      <c r="D106" s="2" t="s">
        <v>103</v>
      </c>
    </row>
    <row r="107" spans="1:4" x14ac:dyDescent="0.3">
      <c r="A107" s="2" t="s">
        <v>35</v>
      </c>
      <c r="B107" s="2" t="s">
        <v>91</v>
      </c>
      <c r="C107" s="3">
        <f>[1]Ore_por_UF!E29</f>
        <v>0</v>
      </c>
      <c r="D107" s="2" t="s">
        <v>103</v>
      </c>
    </row>
    <row r="108" spans="1:4" x14ac:dyDescent="0.3">
      <c r="A108" s="2" t="s">
        <v>35</v>
      </c>
      <c r="B108" s="2" t="s">
        <v>92</v>
      </c>
      <c r="C108" s="3">
        <f>[1]Ore_por_UF!E30</f>
        <v>0</v>
      </c>
      <c r="D108" s="2" t="s">
        <v>103</v>
      </c>
    </row>
    <row r="109" spans="1:4" x14ac:dyDescent="0.3">
      <c r="A109" s="2" t="s">
        <v>35</v>
      </c>
      <c r="B109" s="2" t="s">
        <v>93</v>
      </c>
      <c r="C109" s="3">
        <f>[1]Ore_por_UF!E31</f>
        <v>0</v>
      </c>
      <c r="D109" s="2" t="s">
        <v>103</v>
      </c>
    </row>
    <row r="110" spans="1:4" x14ac:dyDescent="0.3">
      <c r="A110" s="2" t="s">
        <v>33</v>
      </c>
      <c r="B110" s="2" t="s">
        <v>67</v>
      </c>
      <c r="C110" s="3">
        <f>[1]Ore_por_UF!G5</f>
        <v>0</v>
      </c>
      <c r="D110" s="2" t="s">
        <v>104</v>
      </c>
    </row>
    <row r="111" spans="1:4" x14ac:dyDescent="0.3">
      <c r="A111" s="2" t="s">
        <v>33</v>
      </c>
      <c r="B111" s="2" t="s">
        <v>68</v>
      </c>
      <c r="C111" s="3">
        <f>[1]Ore_por_UF!G6</f>
        <v>0</v>
      </c>
      <c r="D111" s="2" t="s">
        <v>104</v>
      </c>
    </row>
    <row r="112" spans="1:4" x14ac:dyDescent="0.3">
      <c r="A112" s="2" t="s">
        <v>33</v>
      </c>
      <c r="B112" s="2" t="s">
        <v>69</v>
      </c>
      <c r="C112" s="3">
        <f>[1]Ore_por_UF!G7</f>
        <v>0</v>
      </c>
      <c r="D112" s="2" t="s">
        <v>104</v>
      </c>
    </row>
    <row r="113" spans="1:4" x14ac:dyDescent="0.3">
      <c r="A113" s="2" t="s">
        <v>33</v>
      </c>
      <c r="B113" s="2" t="s">
        <v>70</v>
      </c>
      <c r="C113" s="3">
        <f>[1]Ore_por_UF!G8</f>
        <v>0</v>
      </c>
      <c r="D113" s="2" t="s">
        <v>104</v>
      </c>
    </row>
    <row r="114" spans="1:4" x14ac:dyDescent="0.3">
      <c r="A114" s="2" t="s">
        <v>33</v>
      </c>
      <c r="B114" s="2" t="s">
        <v>71</v>
      </c>
      <c r="C114" s="3">
        <f>[1]Ore_por_UF!G9</f>
        <v>0</v>
      </c>
      <c r="D114" s="2" t="s">
        <v>104</v>
      </c>
    </row>
    <row r="115" spans="1:4" x14ac:dyDescent="0.3">
      <c r="A115" s="2" t="s">
        <v>33</v>
      </c>
      <c r="B115" s="2" t="s">
        <v>72</v>
      </c>
      <c r="C115" s="3">
        <f>[1]Ore_por_UF!G10</f>
        <v>0</v>
      </c>
      <c r="D115" s="2" t="s">
        <v>104</v>
      </c>
    </row>
    <row r="116" spans="1:4" x14ac:dyDescent="0.3">
      <c r="A116" s="2" t="s">
        <v>33</v>
      </c>
      <c r="B116" s="2" t="s">
        <v>73</v>
      </c>
      <c r="C116" s="3">
        <f>[1]Ore_por_UF!G11</f>
        <v>0</v>
      </c>
      <c r="D116" s="2" t="s">
        <v>104</v>
      </c>
    </row>
    <row r="117" spans="1:4" x14ac:dyDescent="0.3">
      <c r="A117" s="2" t="s">
        <v>33</v>
      </c>
      <c r="B117" s="2" t="s">
        <v>74</v>
      </c>
      <c r="C117" s="3">
        <f>[1]Ore_por_UF!G12</f>
        <v>0</v>
      </c>
      <c r="D117" s="2" t="s">
        <v>104</v>
      </c>
    </row>
    <row r="118" spans="1:4" x14ac:dyDescent="0.3">
      <c r="A118" s="2" t="s">
        <v>33</v>
      </c>
      <c r="B118" s="2" t="s">
        <v>75</v>
      </c>
      <c r="C118" s="3">
        <f>[1]Ore_por_UF!G13</f>
        <v>0</v>
      </c>
      <c r="D118" s="2" t="s">
        <v>104</v>
      </c>
    </row>
    <row r="119" spans="1:4" x14ac:dyDescent="0.3">
      <c r="A119" s="2" t="s">
        <v>33</v>
      </c>
      <c r="B119" s="2" t="s">
        <v>76</v>
      </c>
      <c r="C119" s="3">
        <f>[1]Ore_por_UF!G14</f>
        <v>0</v>
      </c>
      <c r="D119" s="2" t="s">
        <v>104</v>
      </c>
    </row>
    <row r="120" spans="1:4" x14ac:dyDescent="0.3">
      <c r="A120" s="2" t="s">
        <v>33</v>
      </c>
      <c r="B120" s="2" t="s">
        <v>77</v>
      </c>
      <c r="C120" s="3">
        <f>[1]Ore_por_UF!G15</f>
        <v>0</v>
      </c>
      <c r="D120" s="2" t="s">
        <v>104</v>
      </c>
    </row>
    <row r="121" spans="1:4" x14ac:dyDescent="0.3">
      <c r="A121" s="2" t="s">
        <v>33</v>
      </c>
      <c r="B121" s="2" t="s">
        <v>78</v>
      </c>
      <c r="C121" s="3">
        <f>[1]Ore_por_UF!G16</f>
        <v>0</v>
      </c>
      <c r="D121" s="2" t="s">
        <v>104</v>
      </c>
    </row>
    <row r="122" spans="1:4" x14ac:dyDescent="0.3">
      <c r="A122" s="2" t="s">
        <v>33</v>
      </c>
      <c r="B122" s="2" t="s">
        <v>79</v>
      </c>
      <c r="C122" s="3">
        <f>[1]Ore_por_UF!G17</f>
        <v>0</v>
      </c>
      <c r="D122" s="2" t="s">
        <v>104</v>
      </c>
    </row>
    <row r="123" spans="1:4" x14ac:dyDescent="0.3">
      <c r="A123" s="2" t="s">
        <v>33</v>
      </c>
      <c r="B123" s="2" t="s">
        <v>80</v>
      </c>
      <c r="C123" s="3">
        <f>[1]Ore_por_UF!G18</f>
        <v>0</v>
      </c>
      <c r="D123" s="2" t="s">
        <v>104</v>
      </c>
    </row>
    <row r="124" spans="1:4" x14ac:dyDescent="0.3">
      <c r="A124" s="2" t="s">
        <v>33</v>
      </c>
      <c r="B124" s="2" t="s">
        <v>81</v>
      </c>
      <c r="C124" s="3">
        <f>[1]Ore_por_UF!G19</f>
        <v>0</v>
      </c>
      <c r="D124" s="2" t="s">
        <v>104</v>
      </c>
    </row>
    <row r="125" spans="1:4" x14ac:dyDescent="0.3">
      <c r="A125" s="2" t="s">
        <v>33</v>
      </c>
      <c r="B125" s="2" t="s">
        <v>82</v>
      </c>
      <c r="C125" s="3">
        <f>[1]Ore_por_UF!G20</f>
        <v>0</v>
      </c>
      <c r="D125" s="2" t="s">
        <v>104</v>
      </c>
    </row>
    <row r="126" spans="1:4" x14ac:dyDescent="0.3">
      <c r="A126" s="2" t="s">
        <v>33</v>
      </c>
      <c r="B126" s="2" t="s">
        <v>83</v>
      </c>
      <c r="C126" s="3">
        <f>[1]Ore_por_UF!G21</f>
        <v>0</v>
      </c>
      <c r="D126" s="2" t="s">
        <v>104</v>
      </c>
    </row>
    <row r="127" spans="1:4" x14ac:dyDescent="0.3">
      <c r="A127" s="2" t="s">
        <v>33</v>
      </c>
      <c r="B127" s="2" t="s">
        <v>84</v>
      </c>
      <c r="C127" s="3">
        <f>[1]Ore_por_UF!G22</f>
        <v>0</v>
      </c>
      <c r="D127" s="2" t="s">
        <v>104</v>
      </c>
    </row>
    <row r="128" spans="1:4" x14ac:dyDescent="0.3">
      <c r="A128" s="2" t="s">
        <v>33</v>
      </c>
      <c r="B128" s="2" t="s">
        <v>85</v>
      </c>
      <c r="C128" s="3">
        <f>[1]Ore_por_UF!G23</f>
        <v>0</v>
      </c>
      <c r="D128" s="2" t="s">
        <v>104</v>
      </c>
    </row>
    <row r="129" spans="1:4" x14ac:dyDescent="0.3">
      <c r="A129" s="2" t="s">
        <v>33</v>
      </c>
      <c r="B129" s="2" t="s">
        <v>86</v>
      </c>
      <c r="C129" s="3">
        <f>[1]Ore_por_UF!G24</f>
        <v>0</v>
      </c>
      <c r="D129" s="2" t="s">
        <v>104</v>
      </c>
    </row>
    <row r="130" spans="1:4" x14ac:dyDescent="0.3">
      <c r="A130" s="2" t="s">
        <v>33</v>
      </c>
      <c r="B130" s="2" t="s">
        <v>87</v>
      </c>
      <c r="C130" s="3">
        <f>[1]Ore_por_UF!G25</f>
        <v>0</v>
      </c>
      <c r="D130" s="2" t="s">
        <v>104</v>
      </c>
    </row>
    <row r="131" spans="1:4" x14ac:dyDescent="0.3">
      <c r="A131" s="2" t="s">
        <v>33</v>
      </c>
      <c r="B131" s="2" t="s">
        <v>88</v>
      </c>
      <c r="C131" s="3">
        <f>[1]Ore_por_UF!G26</f>
        <v>0</v>
      </c>
      <c r="D131" s="2" t="s">
        <v>104</v>
      </c>
    </row>
    <row r="132" spans="1:4" x14ac:dyDescent="0.3">
      <c r="A132" s="2" t="s">
        <v>33</v>
      </c>
      <c r="B132" s="2" t="s">
        <v>89</v>
      </c>
      <c r="C132" s="3">
        <f>[1]Ore_por_UF!G27</f>
        <v>0</v>
      </c>
      <c r="D132" s="2" t="s">
        <v>104</v>
      </c>
    </row>
    <row r="133" spans="1:4" x14ac:dyDescent="0.3">
      <c r="A133" s="2" t="s">
        <v>33</v>
      </c>
      <c r="B133" s="2" t="s">
        <v>90</v>
      </c>
      <c r="C133" s="3">
        <f>[1]Ore_por_UF!G28</f>
        <v>0</v>
      </c>
      <c r="D133" s="2" t="s">
        <v>104</v>
      </c>
    </row>
    <row r="134" spans="1:4" x14ac:dyDescent="0.3">
      <c r="A134" s="2" t="s">
        <v>33</v>
      </c>
      <c r="B134" s="2" t="s">
        <v>91</v>
      </c>
      <c r="C134" s="3">
        <f>[1]Ore_por_UF!G29</f>
        <v>0</v>
      </c>
      <c r="D134" s="2" t="s">
        <v>104</v>
      </c>
    </row>
    <row r="135" spans="1:4" x14ac:dyDescent="0.3">
      <c r="A135" s="2" t="s">
        <v>33</v>
      </c>
      <c r="B135" s="2" t="s">
        <v>92</v>
      </c>
      <c r="C135" s="3">
        <f>[1]Ore_por_UF!G30</f>
        <v>0</v>
      </c>
      <c r="D135" s="2" t="s">
        <v>104</v>
      </c>
    </row>
    <row r="136" spans="1:4" x14ac:dyDescent="0.3">
      <c r="A136" s="2" t="s">
        <v>33</v>
      </c>
      <c r="B136" s="2" t="s">
        <v>93</v>
      </c>
      <c r="C136" s="3">
        <f>[1]Ore_por_UF!G31</f>
        <v>0</v>
      </c>
      <c r="D136" s="2" t="s">
        <v>104</v>
      </c>
    </row>
    <row r="137" spans="1:4" x14ac:dyDescent="0.3">
      <c r="A137" s="2" t="s">
        <v>34</v>
      </c>
      <c r="B137" s="2" t="s">
        <v>67</v>
      </c>
      <c r="C137" s="3">
        <f>[1]Ore_por_UF!G5</f>
        <v>0</v>
      </c>
      <c r="D137" s="2" t="s">
        <v>104</v>
      </c>
    </row>
    <row r="138" spans="1:4" x14ac:dyDescent="0.3">
      <c r="A138" s="2" t="s">
        <v>34</v>
      </c>
      <c r="B138" s="2" t="s">
        <v>68</v>
      </c>
      <c r="C138" s="3">
        <f>[1]Ore_por_UF!G6</f>
        <v>0</v>
      </c>
      <c r="D138" s="2" t="s">
        <v>104</v>
      </c>
    </row>
    <row r="139" spans="1:4" x14ac:dyDescent="0.3">
      <c r="A139" s="2" t="s">
        <v>34</v>
      </c>
      <c r="B139" s="2" t="s">
        <v>69</v>
      </c>
      <c r="C139" s="3">
        <f>[1]Ore_por_UF!G7</f>
        <v>0</v>
      </c>
      <c r="D139" s="2" t="s">
        <v>104</v>
      </c>
    </row>
    <row r="140" spans="1:4" x14ac:dyDescent="0.3">
      <c r="A140" s="2" t="s">
        <v>34</v>
      </c>
      <c r="B140" s="2" t="s">
        <v>70</v>
      </c>
      <c r="C140" s="3">
        <f>[1]Ore_por_UF!G8</f>
        <v>0</v>
      </c>
      <c r="D140" s="2" t="s">
        <v>104</v>
      </c>
    </row>
    <row r="141" spans="1:4" x14ac:dyDescent="0.3">
      <c r="A141" s="2" t="s">
        <v>34</v>
      </c>
      <c r="B141" s="2" t="s">
        <v>71</v>
      </c>
      <c r="C141" s="3">
        <f>[1]Ore_por_UF!G9</f>
        <v>0</v>
      </c>
      <c r="D141" s="2" t="s">
        <v>104</v>
      </c>
    </row>
    <row r="142" spans="1:4" x14ac:dyDescent="0.3">
      <c r="A142" s="2" t="s">
        <v>34</v>
      </c>
      <c r="B142" s="2" t="s">
        <v>72</v>
      </c>
      <c r="C142" s="3">
        <f>[1]Ore_por_UF!G10</f>
        <v>0</v>
      </c>
      <c r="D142" s="2" t="s">
        <v>104</v>
      </c>
    </row>
    <row r="143" spans="1:4" x14ac:dyDescent="0.3">
      <c r="A143" s="2" t="s">
        <v>34</v>
      </c>
      <c r="B143" s="2" t="s">
        <v>73</v>
      </c>
      <c r="C143" s="3">
        <f>[1]Ore_por_UF!G11</f>
        <v>0</v>
      </c>
      <c r="D143" s="2" t="s">
        <v>104</v>
      </c>
    </row>
    <row r="144" spans="1:4" x14ac:dyDescent="0.3">
      <c r="A144" s="2" t="s">
        <v>34</v>
      </c>
      <c r="B144" s="2" t="s">
        <v>74</v>
      </c>
      <c r="C144" s="3">
        <f>[1]Ore_por_UF!G12</f>
        <v>0</v>
      </c>
      <c r="D144" s="2" t="s">
        <v>104</v>
      </c>
    </row>
    <row r="145" spans="1:4" x14ac:dyDescent="0.3">
      <c r="A145" s="2" t="s">
        <v>34</v>
      </c>
      <c r="B145" s="2" t="s">
        <v>75</v>
      </c>
      <c r="C145" s="3">
        <f>[1]Ore_por_UF!G13</f>
        <v>0</v>
      </c>
      <c r="D145" s="2" t="s">
        <v>104</v>
      </c>
    </row>
    <row r="146" spans="1:4" x14ac:dyDescent="0.3">
      <c r="A146" s="2" t="s">
        <v>34</v>
      </c>
      <c r="B146" s="2" t="s">
        <v>76</v>
      </c>
      <c r="C146" s="3">
        <f>[1]Ore_por_UF!G14</f>
        <v>0</v>
      </c>
      <c r="D146" s="2" t="s">
        <v>104</v>
      </c>
    </row>
    <row r="147" spans="1:4" x14ac:dyDescent="0.3">
      <c r="A147" s="2" t="s">
        <v>34</v>
      </c>
      <c r="B147" s="2" t="s">
        <v>77</v>
      </c>
      <c r="C147" s="3">
        <f>[1]Ore_por_UF!G15</f>
        <v>0</v>
      </c>
      <c r="D147" s="2" t="s">
        <v>104</v>
      </c>
    </row>
    <row r="148" spans="1:4" x14ac:dyDescent="0.3">
      <c r="A148" s="2" t="s">
        <v>34</v>
      </c>
      <c r="B148" s="2" t="s">
        <v>78</v>
      </c>
      <c r="C148" s="3">
        <f>[1]Ore_por_UF!G16</f>
        <v>0</v>
      </c>
      <c r="D148" s="2" t="s">
        <v>104</v>
      </c>
    </row>
    <row r="149" spans="1:4" x14ac:dyDescent="0.3">
      <c r="A149" s="2" t="s">
        <v>34</v>
      </c>
      <c r="B149" s="2" t="s">
        <v>79</v>
      </c>
      <c r="C149" s="3">
        <f>[1]Ore_por_UF!G17</f>
        <v>0</v>
      </c>
      <c r="D149" s="2" t="s">
        <v>104</v>
      </c>
    </row>
    <row r="150" spans="1:4" x14ac:dyDescent="0.3">
      <c r="A150" s="2" t="s">
        <v>34</v>
      </c>
      <c r="B150" s="2" t="s">
        <v>80</v>
      </c>
      <c r="C150" s="3">
        <f>[1]Ore_por_UF!G18</f>
        <v>0</v>
      </c>
      <c r="D150" s="2" t="s">
        <v>104</v>
      </c>
    </row>
    <row r="151" spans="1:4" x14ac:dyDescent="0.3">
      <c r="A151" s="2" t="s">
        <v>34</v>
      </c>
      <c r="B151" s="2" t="s">
        <v>81</v>
      </c>
      <c r="C151" s="3">
        <f>[1]Ore_por_UF!G19</f>
        <v>0</v>
      </c>
      <c r="D151" s="2" t="s">
        <v>104</v>
      </c>
    </row>
    <row r="152" spans="1:4" x14ac:dyDescent="0.3">
      <c r="A152" s="2" t="s">
        <v>34</v>
      </c>
      <c r="B152" s="2" t="s">
        <v>82</v>
      </c>
      <c r="C152" s="3">
        <f>[1]Ore_por_UF!G20</f>
        <v>0</v>
      </c>
      <c r="D152" s="2" t="s">
        <v>104</v>
      </c>
    </row>
    <row r="153" spans="1:4" x14ac:dyDescent="0.3">
      <c r="A153" s="2" t="s">
        <v>34</v>
      </c>
      <c r="B153" s="2" t="s">
        <v>83</v>
      </c>
      <c r="C153" s="3">
        <f>[1]Ore_por_UF!G21</f>
        <v>0</v>
      </c>
      <c r="D153" s="2" t="s">
        <v>104</v>
      </c>
    </row>
    <row r="154" spans="1:4" x14ac:dyDescent="0.3">
      <c r="A154" s="2" t="s">
        <v>34</v>
      </c>
      <c r="B154" s="2" t="s">
        <v>84</v>
      </c>
      <c r="C154" s="3">
        <f>[1]Ore_por_UF!G22</f>
        <v>0</v>
      </c>
      <c r="D154" s="2" t="s">
        <v>104</v>
      </c>
    </row>
    <row r="155" spans="1:4" x14ac:dyDescent="0.3">
      <c r="A155" s="2" t="s">
        <v>34</v>
      </c>
      <c r="B155" s="2" t="s">
        <v>85</v>
      </c>
      <c r="C155" s="3">
        <f>[1]Ore_por_UF!G23</f>
        <v>0</v>
      </c>
      <c r="D155" s="2" t="s">
        <v>104</v>
      </c>
    </row>
    <row r="156" spans="1:4" x14ac:dyDescent="0.3">
      <c r="A156" s="2" t="s">
        <v>34</v>
      </c>
      <c r="B156" s="2" t="s">
        <v>86</v>
      </c>
      <c r="C156" s="3">
        <f>[1]Ore_por_UF!G24</f>
        <v>0</v>
      </c>
      <c r="D156" s="2" t="s">
        <v>104</v>
      </c>
    </row>
    <row r="157" spans="1:4" x14ac:dyDescent="0.3">
      <c r="A157" s="2" t="s">
        <v>34</v>
      </c>
      <c r="B157" s="2" t="s">
        <v>87</v>
      </c>
      <c r="C157" s="3">
        <f>[1]Ore_por_UF!G25</f>
        <v>0</v>
      </c>
      <c r="D157" s="2" t="s">
        <v>104</v>
      </c>
    </row>
    <row r="158" spans="1:4" x14ac:dyDescent="0.3">
      <c r="A158" s="2" t="s">
        <v>34</v>
      </c>
      <c r="B158" s="2" t="s">
        <v>88</v>
      </c>
      <c r="C158" s="3">
        <f>[1]Ore_por_UF!G26</f>
        <v>0</v>
      </c>
      <c r="D158" s="2" t="s">
        <v>104</v>
      </c>
    </row>
    <row r="159" spans="1:4" x14ac:dyDescent="0.3">
      <c r="A159" s="2" t="s">
        <v>34</v>
      </c>
      <c r="B159" s="2" t="s">
        <v>89</v>
      </c>
      <c r="C159" s="3">
        <f>[1]Ore_por_UF!G27</f>
        <v>0</v>
      </c>
      <c r="D159" s="2" t="s">
        <v>104</v>
      </c>
    </row>
    <row r="160" spans="1:4" x14ac:dyDescent="0.3">
      <c r="A160" s="2" t="s">
        <v>34</v>
      </c>
      <c r="B160" s="2" t="s">
        <v>90</v>
      </c>
      <c r="C160" s="3">
        <f>[1]Ore_por_UF!G28</f>
        <v>0</v>
      </c>
      <c r="D160" s="2" t="s">
        <v>104</v>
      </c>
    </row>
    <row r="161" spans="1:4" x14ac:dyDescent="0.3">
      <c r="A161" s="2" t="s">
        <v>34</v>
      </c>
      <c r="B161" s="2" t="s">
        <v>91</v>
      </c>
      <c r="C161" s="3">
        <f>[1]Ore_por_UF!G29</f>
        <v>0</v>
      </c>
      <c r="D161" s="2" t="s">
        <v>104</v>
      </c>
    </row>
    <row r="162" spans="1:4" x14ac:dyDescent="0.3">
      <c r="A162" s="2" t="s">
        <v>34</v>
      </c>
      <c r="B162" s="2" t="s">
        <v>92</v>
      </c>
      <c r="C162" s="3">
        <f>[1]Ore_por_UF!G30</f>
        <v>0</v>
      </c>
      <c r="D162" s="2" t="s">
        <v>104</v>
      </c>
    </row>
    <row r="163" spans="1:4" x14ac:dyDescent="0.3">
      <c r="A163" s="2" t="s">
        <v>34</v>
      </c>
      <c r="B163" s="2" t="s">
        <v>93</v>
      </c>
      <c r="C163" s="3">
        <f>[1]Ore_por_UF!G31</f>
        <v>0</v>
      </c>
      <c r="D163" s="2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Fuel_Prices_State</vt:lpstr>
      <vt:lpstr>Greenfield_States</vt:lpstr>
      <vt:lpstr>Charcoal_Supply_State</vt:lpstr>
      <vt:lpstr>Ore_Cost_State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2026-07-09T21:09:32Z</dcterms:created>
  <dcterms:modified xsi:type="dcterms:W3CDTF">2026-07-19T02:07:21Z</dcterms:modified>
</cp:coreProperties>
</file>