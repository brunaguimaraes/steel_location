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Scrap_Regional_Share" sheetId="2" state="visible" r:id="rId4"/>
    <sheet name="UF_Region" sheetId="3" state="visible" r:id="rId5"/>
    <sheet name="Validaca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<sst xmlns="http://schemas.openxmlformats.org/spreadsheetml/2006/main" count="169" uniqueCount="104">
  <si>
    <t xml:space="preserve">Restrição regional de disponibilidade de sucata — arquivo de input</t>
  </si>
  <si>
    <t xml:space="preserve">Complementa o Model_Config para regionalizar a Constraint D (teto de sucata).</t>
  </si>
  <si>
    <t xml:space="preserve">Abas lidas pelo modelo</t>
  </si>
  <si>
    <t xml:space="preserve">Scrap_Regional_Share  — colunas Region, Share. Fração regional do teto nacional de sucata.</t>
  </si>
  <si>
    <t xml:space="preserve">UF_Region  — colunas UF, Region. Mapeia cada unidade da federação em sua macrorregião.</t>
  </si>
  <si>
    <t xml:space="preserve">Integração: copiar essas duas abas para o Model_Config (o loader lê por nome de aba), ou apontar o loader para este arquivo.</t>
  </si>
  <si>
    <t xml:space="preserve">Aba de conferência (NÃO lida pelo modelo)</t>
  </si>
  <si>
    <t xml:space="preserve">Validacao  — recalcula os tetos regionais e a EAF máxima nos anos-âncora 2024 e 2050, a partir das shares e do envelope nacional.</t>
  </si>
  <si>
    <t xml:space="preserve">Como a restrição usa estes dados</t>
  </si>
  <si>
    <t xml:space="preserve">Para cada macrorregião g e ano y:   Σ (produção EAF em g) × 0,95  ≤  Scrap_supply_kt(y) × Share(g)</t>
  </si>
  <si>
    <t xml:space="preserve">0,95 = Scrap_rate_t_per_t da EAF (Model_Config, aba Routes); demais rotas têm coeficiente 0.</t>
  </si>
  <si>
    <t xml:space="preserve">Scrap_supply_kt(y) = série nacional já existente (Model_Config, aba Scrap_Supply). Fronteira rígida: sem fluxo de sucata entre regiões.</t>
  </si>
  <si>
    <t xml:space="preserve">Análise de sensibilidade (Pendência ativa)</t>
  </si>
  <si>
    <t xml:space="preserve">Distribuição regional: editar as células amarelas de Share (aba Scrap_Regional_Share) para uma repartição menos concentrada.</t>
  </si>
  <si>
    <t xml:space="preserve">Envelope nacional: ajustar a série Scrap_supply_kt / a taxa de recuperação (no Model_Config).</t>
  </si>
  <si>
    <t xml:space="preserve">Legenda de cores</t>
  </si>
  <si>
    <t xml:space="preserve">Amarelo — editável (lever de sensibilidade)</t>
  </si>
  <si>
    <t xml:space="preserve">Azul — digitado com fonte</t>
  </si>
  <si>
    <t xml:space="preserve">Verde — calculado / link</t>
  </si>
  <si>
    <t xml:space="preserve">Fontes</t>
  </si>
  <si>
    <t xml:space="preserve">Shares regionais: Anuário Estatístico da Indústria do Aço (Instituto Aço Brasil, 2025), Tab. 5.b — consumo aparente por macrorregião, ano-base 2024.</t>
  </si>
  <si>
    <t xml:space="preserve">Mapa UF → macrorregião: IBGE, Divisão Regional do Brasil (macrorregiões).</t>
  </si>
  <si>
    <t xml:space="preserve">Registro metodológico: Restricao_Sucata_Metodologia.docx.</t>
  </si>
  <si>
    <t xml:space="preserve">Region</t>
  </si>
  <si>
    <t xml:space="preserve">Share</t>
  </si>
  <si>
    <t xml:space="preserve">Fonte</t>
  </si>
  <si>
    <t xml:space="preserve">Sudeste</t>
  </si>
  <si>
    <t xml:space="preserve">Anuário Estatístico da Indústria do Aço (Instituto Aço Brasil, 2025), Tab. 5.b — consumo aparente por macrorregião, ano-base 2024.</t>
  </si>
  <si>
    <t xml:space="preserve">Sul</t>
  </si>
  <si>
    <t xml:space="preserve">idem</t>
  </si>
  <si>
    <t xml:space="preserve">Nordeste</t>
  </si>
  <si>
    <t xml:space="preserve">Centro-Oeste</t>
  </si>
  <si>
    <t xml:space="preserve">Norte</t>
  </si>
  <si>
    <t xml:space="preserve">Soma (verificação)</t>
  </si>
  <si>
    <t xml:space="preserve">UF</t>
  </si>
  <si>
    <t xml:space="preserve">UF_nome</t>
  </si>
  <si>
    <t xml:space="preserve">AC</t>
  </si>
  <si>
    <t xml:space="preserve">Acre</t>
  </si>
  <si>
    <t xml:space="preserve">IBGE — Divisão Regional do Brasil (macrorregiões).</t>
  </si>
  <si>
    <t xml:space="preserve">AP</t>
  </si>
  <si>
    <t xml:space="preserve">Amapá</t>
  </si>
  <si>
    <t xml:space="preserve">AM</t>
  </si>
  <si>
    <t xml:space="preserve">Amazonas</t>
  </si>
  <si>
    <t xml:space="preserve">PA</t>
  </si>
  <si>
    <t xml:space="preserve">Pará</t>
  </si>
  <si>
    <t xml:space="preserve">RO</t>
  </si>
  <si>
    <t xml:space="preserve">Rondônia</t>
  </si>
  <si>
    <t xml:space="preserve">RR</t>
  </si>
  <si>
    <t xml:space="preserve">Roraima</t>
  </si>
  <si>
    <t xml:space="preserve">TO</t>
  </si>
  <si>
    <t xml:space="preserve">Tocantins</t>
  </si>
  <si>
    <t xml:space="preserve">AL</t>
  </si>
  <si>
    <t xml:space="preserve">Alagoas</t>
  </si>
  <si>
    <t xml:space="preserve">BA</t>
  </si>
  <si>
    <t xml:space="preserve">Bahia</t>
  </si>
  <si>
    <t xml:space="preserve">CE</t>
  </si>
  <si>
    <t xml:space="preserve">Ceará</t>
  </si>
  <si>
    <t xml:space="preserve">MA</t>
  </si>
  <si>
    <t xml:space="preserve">Maranhão</t>
  </si>
  <si>
    <t xml:space="preserve">PB</t>
  </si>
  <si>
    <t xml:space="preserve">Paraíba</t>
  </si>
  <si>
    <t xml:space="preserve">PE</t>
  </si>
  <si>
    <t xml:space="preserve">Pernambuco</t>
  </si>
  <si>
    <t xml:space="preserve">PI</t>
  </si>
  <si>
    <t xml:space="preserve">Piauí</t>
  </si>
  <si>
    <t xml:space="preserve">RN</t>
  </si>
  <si>
    <t xml:space="preserve">Rio Grande do Norte</t>
  </si>
  <si>
    <t xml:space="preserve">SE</t>
  </si>
  <si>
    <t xml:space="preserve">Sergipe</t>
  </si>
  <si>
    <t xml:space="preserve">DF</t>
  </si>
  <si>
    <t xml:space="preserve">Distrito Federal</t>
  </si>
  <si>
    <t xml:space="preserve">GO</t>
  </si>
  <si>
    <t xml:space="preserve">Goiás</t>
  </si>
  <si>
    <t xml:space="preserve">MT</t>
  </si>
  <si>
    <t xml:space="preserve">Mato Grosso</t>
  </si>
  <si>
    <t xml:space="preserve">MS</t>
  </si>
  <si>
    <t xml:space="preserve">Mato Grosso do Sul</t>
  </si>
  <si>
    <t xml:space="preserve">ES</t>
  </si>
  <si>
    <t xml:space="preserve">Espírito Santo</t>
  </si>
  <si>
    <t xml:space="preserve">MG</t>
  </si>
  <si>
    <t xml:space="preserve">Minas Gerais</t>
  </si>
  <si>
    <t xml:space="preserve">RJ</t>
  </si>
  <si>
    <t xml:space="preserve">Rio de Janeiro</t>
  </si>
  <si>
    <t xml:space="preserve">SP</t>
  </si>
  <si>
    <t xml:space="preserve">São Paulo</t>
  </si>
  <si>
    <t xml:space="preserve">PR</t>
  </si>
  <si>
    <t xml:space="preserve">Paraná</t>
  </si>
  <si>
    <t xml:space="preserve">RS</t>
  </si>
  <si>
    <t xml:space="preserve">Rio Grande do Sul</t>
  </si>
  <si>
    <t xml:space="preserve">SC</t>
  </si>
  <si>
    <t xml:space="preserve">Santa Catarina</t>
  </si>
  <si>
    <t xml:space="preserve">Conferência dos tetos regionais — NÃO lida pelo modelo</t>
  </si>
  <si>
    <t xml:space="preserve">scrap_rate_EAF (t/t)</t>
  </si>
  <si>
    <t xml:space="preserve">Model_Config, aba Routes, coluna Scrap_rate_t_per_t</t>
  </si>
  <si>
    <t xml:space="preserve">Envelope nacional 2024 (kt)</t>
  </si>
  <si>
    <t xml:space="preserve">Model_Config, aba Scrap_Supply (Scrap_supply_kt, ano 2024)</t>
  </si>
  <si>
    <t xml:space="preserve">Envelope nacional 2050 (kt)</t>
  </si>
  <si>
    <t xml:space="preserve">Model_Config, aba Scrap_Supply (Scrap_supply_kt, ano 2050)</t>
  </si>
  <si>
    <t xml:space="preserve">Teto 2024 (kt)</t>
  </si>
  <si>
    <t xml:space="preserve">EAF máx 2024 (kt)</t>
  </si>
  <si>
    <t xml:space="preserve">Teto 2050 (kt)</t>
  </si>
  <si>
    <t xml:space="preserve">EAF máx 2050 (kt)</t>
  </si>
  <si>
    <t xml:space="preserve">Total</t>
  </si>
  <si>
    <t xml:space="preserve">Envelope nacional cresce ao longo do horizonte (8.586 kt em 2023 → 17.060 kt em 2050); os tetos regionais acompanham. Frações fixas em 2024 — ver ressalvas na Metodologia.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</si>
</sst>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#,##0.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26.85" hidden="false" customHeight="false" outlineLevel="0" collapsed="false">
      <c r="B8" s="2" t="s">
        <v>5</v>
      </c>
    </row>
    <row r="10" customFormat="false" ht="15" hidden="false" customHeight="false" outlineLevel="0" collapsed="false">
      <c r="B10" s="3" t="s">
        <v>6</v>
      </c>
    </row>
    <row r="11" customFormat="false" ht="26.85" hidden="false" customHeight="false" outlineLevel="0" collapsed="false">
      <c r="B11" s="2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26.85" hidden="false" customHeight="false" outlineLevel="0" collapsed="false">
      <c r="B16" s="2" t="s">
        <v>11</v>
      </c>
    </row>
    <row r="18" customFormat="false" ht="15" hidden="false" customHeight="false" outlineLevel="0" collapsed="false">
      <c r="B18" s="3" t="s">
        <v>12</v>
      </c>
    </row>
    <row r="19" customFormat="false" ht="26.8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4" t="s">
        <v>16</v>
      </c>
    </row>
    <row r="24" customFormat="false" ht="15" hidden="false" customHeight="false" outlineLevel="0" collapsed="false">
      <c r="B24" s="5" t="s">
        <v>17</v>
      </c>
    </row>
    <row r="25" customFormat="false" ht="15" hidden="false" customHeight="false" outlineLevel="0" collapsed="false">
      <c r="B25" s="6" t="s">
        <v>18</v>
      </c>
    </row>
    <row r="27" customFormat="false" ht="15" hidden="false" customHeight="false" outlineLevel="0" collapsed="false">
      <c r="B27" s="3" t="s">
        <v>19</v>
      </c>
    </row>
    <row r="28" customFormat="false" ht="26.85" hidden="false" customHeight="false" outlineLevel="0" collapsed="false">
      <c r="B28" s="2" t="s">
        <v>20</v>
      </c>
    </row>
    <row r="29" customFormat="false" ht="15" hidden="false" customHeight="false" outlineLevel="0" collapsed="false">
      <c r="B29" s="2" t="s">
        <v>21</v>
      </c>
    </row>
    <row r="30" customFormat="false" ht="15" hidden="false" customHeight="false" outlineLevel="0" collapsed="false">
      <c r="B30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7" t="s">
        <v>23</v>
      </c>
      <c r="B1" s="7" t="s">
        <v>24</v>
      </c>
      <c r="C1" s="7" t="s">
        <v>25</v>
      </c>
    </row>
    <row r="2" customFormat="false" ht="23.85" hidden="false" customHeight="false" outlineLevel="0" collapsed="false">
      <c r="A2" s="8" t="s">
        <v>26</v>
      </c>
      <c r="B2" s="9" t="n">
        <v>0.578</v>
      </c>
      <c r="C2" s="10" t="s">
        <v>27</v>
      </c>
    </row>
    <row r="3" customFormat="false" ht="15" hidden="false" customHeight="false" outlineLevel="0" collapsed="false">
      <c r="A3" s="8" t="s">
        <v>28</v>
      </c>
      <c r="B3" s="9" t="n">
        <v>0.228</v>
      </c>
      <c r="C3" s="10" t="s">
        <v>29</v>
      </c>
    </row>
    <row r="4" customFormat="false" ht="15" hidden="false" customHeight="false" outlineLevel="0" collapsed="false">
      <c r="A4" s="8" t="s">
        <v>30</v>
      </c>
      <c r="B4" s="9" t="n">
        <v>0.11</v>
      </c>
      <c r="C4" s="10" t="s">
        <v>29</v>
      </c>
    </row>
    <row r="5" customFormat="false" ht="15" hidden="false" customHeight="false" outlineLevel="0" collapsed="false">
      <c r="A5" s="8" t="s">
        <v>31</v>
      </c>
      <c r="B5" s="9" t="n">
        <v>0.041</v>
      </c>
      <c r="C5" s="10" t="s">
        <v>29</v>
      </c>
    </row>
    <row r="6" customFormat="false" ht="15" hidden="false" customHeight="false" outlineLevel="0" collapsed="false">
      <c r="A6" s="8" t="s">
        <v>32</v>
      </c>
      <c r="B6" s="9" t="n">
        <v>0.043</v>
      </c>
      <c r="C6" s="10" t="s">
        <v>29</v>
      </c>
    </row>
    <row r="7" customFormat="false" ht="15" hidden="false" customHeight="false" outlineLevel="0" collapsed="false">
      <c r="A7" s="11" t="s">
        <v>33</v>
      </c>
      <c r="B7" s="12" t="n">
        <f aca="false">SUM(B2:B6)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7" t="s">
        <v>34</v>
      </c>
      <c r="B1" s="7" t="s">
        <v>35</v>
      </c>
      <c r="C1" s="7" t="s">
        <v>23</v>
      </c>
      <c r="D1" s="7" t="s">
        <v>25</v>
      </c>
    </row>
    <row r="2" customFormat="false" ht="15" hidden="false" customHeight="false" outlineLevel="0" collapsed="false">
      <c r="A2" s="13" t="s">
        <v>36</v>
      </c>
      <c r="B2" s="14" t="s">
        <v>37</v>
      </c>
      <c r="C2" s="13" t="s">
        <v>32</v>
      </c>
      <c r="D2" s="10" t="s">
        <v>38</v>
      </c>
    </row>
    <row r="3" customFormat="false" ht="15" hidden="false" customHeight="false" outlineLevel="0" collapsed="false">
      <c r="A3" s="13" t="s">
        <v>39</v>
      </c>
      <c r="B3" s="14" t="s">
        <v>40</v>
      </c>
      <c r="C3" s="13" t="s">
        <v>32</v>
      </c>
      <c r="D3" s="10" t="s">
        <v>29</v>
      </c>
    </row>
    <row r="4" customFormat="false" ht="15" hidden="false" customHeight="false" outlineLevel="0" collapsed="false">
      <c r="A4" s="13" t="s">
        <v>41</v>
      </c>
      <c r="B4" s="14" t="s">
        <v>42</v>
      </c>
      <c r="C4" s="13" t="s">
        <v>32</v>
      </c>
      <c r="D4" s="10" t="s">
        <v>29</v>
      </c>
    </row>
    <row r="5" customFormat="false" ht="15" hidden="false" customHeight="false" outlineLevel="0" collapsed="false">
      <c r="A5" s="13" t="s">
        <v>43</v>
      </c>
      <c r="B5" s="14" t="s">
        <v>44</v>
      </c>
      <c r="C5" s="13" t="s">
        <v>32</v>
      </c>
      <c r="D5" s="10" t="s">
        <v>29</v>
      </c>
    </row>
    <row r="6" customFormat="false" ht="15" hidden="false" customHeight="false" outlineLevel="0" collapsed="false">
      <c r="A6" s="13" t="s">
        <v>45</v>
      </c>
      <c r="B6" s="14" t="s">
        <v>46</v>
      </c>
      <c r="C6" s="13" t="s">
        <v>32</v>
      </c>
      <c r="D6" s="10" t="s">
        <v>29</v>
      </c>
    </row>
    <row r="7" customFormat="false" ht="15" hidden="false" customHeight="false" outlineLevel="0" collapsed="false">
      <c r="A7" s="13" t="s">
        <v>47</v>
      </c>
      <c r="B7" s="14" t="s">
        <v>48</v>
      </c>
      <c r="C7" s="13" t="s">
        <v>32</v>
      </c>
      <c r="D7" s="10" t="s">
        <v>29</v>
      </c>
    </row>
    <row r="8" customFormat="false" ht="15" hidden="false" customHeight="false" outlineLevel="0" collapsed="false">
      <c r="A8" s="13" t="s">
        <v>49</v>
      </c>
      <c r="B8" s="14" t="s">
        <v>50</v>
      </c>
      <c r="C8" s="13" t="s">
        <v>32</v>
      </c>
      <c r="D8" s="10" t="s">
        <v>29</v>
      </c>
    </row>
    <row r="9" customFormat="false" ht="15" hidden="false" customHeight="false" outlineLevel="0" collapsed="false">
      <c r="A9" s="13" t="s">
        <v>51</v>
      </c>
      <c r="B9" s="14" t="s">
        <v>52</v>
      </c>
      <c r="C9" s="13" t="s">
        <v>30</v>
      </c>
      <c r="D9" s="10" t="s">
        <v>29</v>
      </c>
    </row>
    <row r="10" customFormat="false" ht="15" hidden="false" customHeight="false" outlineLevel="0" collapsed="false">
      <c r="A10" s="13" t="s">
        <v>53</v>
      </c>
      <c r="B10" s="14" t="s">
        <v>54</v>
      </c>
      <c r="C10" s="13" t="s">
        <v>30</v>
      </c>
      <c r="D10" s="10" t="s">
        <v>29</v>
      </c>
    </row>
    <row r="11" customFormat="false" ht="15" hidden="false" customHeight="false" outlineLevel="0" collapsed="false">
      <c r="A11" s="13" t="s">
        <v>55</v>
      </c>
      <c r="B11" s="14" t="s">
        <v>56</v>
      </c>
      <c r="C11" s="13" t="s">
        <v>30</v>
      </c>
      <c r="D11" s="10" t="s">
        <v>29</v>
      </c>
    </row>
    <row r="12" customFormat="false" ht="15" hidden="false" customHeight="false" outlineLevel="0" collapsed="false">
      <c r="A12" s="13" t="s">
        <v>57</v>
      </c>
      <c r="B12" s="14" t="s">
        <v>58</v>
      </c>
      <c r="C12" s="13" t="s">
        <v>30</v>
      </c>
      <c r="D12" s="10" t="s">
        <v>29</v>
      </c>
    </row>
    <row r="13" customFormat="false" ht="15" hidden="false" customHeight="false" outlineLevel="0" collapsed="false">
      <c r="A13" s="13" t="s">
        <v>59</v>
      </c>
      <c r="B13" s="14" t="s">
        <v>60</v>
      </c>
      <c r="C13" s="13" t="s">
        <v>30</v>
      </c>
      <c r="D13" s="10" t="s">
        <v>29</v>
      </c>
    </row>
    <row r="14" customFormat="false" ht="15" hidden="false" customHeight="false" outlineLevel="0" collapsed="false">
      <c r="A14" s="13" t="s">
        <v>61</v>
      </c>
      <c r="B14" s="14" t="s">
        <v>62</v>
      </c>
      <c r="C14" s="13" t="s">
        <v>30</v>
      </c>
      <c r="D14" s="10" t="s">
        <v>29</v>
      </c>
    </row>
    <row r="15" customFormat="false" ht="15" hidden="false" customHeight="false" outlineLevel="0" collapsed="false">
      <c r="A15" s="13" t="s">
        <v>63</v>
      </c>
      <c r="B15" s="14" t="s">
        <v>64</v>
      </c>
      <c r="C15" s="13" t="s">
        <v>30</v>
      </c>
      <c r="D15" s="10" t="s">
        <v>29</v>
      </c>
    </row>
    <row r="16" customFormat="false" ht="15" hidden="false" customHeight="false" outlineLevel="0" collapsed="false">
      <c r="A16" s="13" t="s">
        <v>65</v>
      </c>
      <c r="B16" s="14" t="s">
        <v>66</v>
      </c>
      <c r="C16" s="13" t="s">
        <v>30</v>
      </c>
      <c r="D16" s="10" t="s">
        <v>29</v>
      </c>
    </row>
    <row r="17" customFormat="false" ht="15" hidden="false" customHeight="false" outlineLevel="0" collapsed="false">
      <c r="A17" s="13" t="s">
        <v>67</v>
      </c>
      <c r="B17" s="14" t="s">
        <v>68</v>
      </c>
      <c r="C17" s="13" t="s">
        <v>30</v>
      </c>
      <c r="D17" s="10" t="s">
        <v>29</v>
      </c>
    </row>
    <row r="18" customFormat="false" ht="15" hidden="false" customHeight="false" outlineLevel="0" collapsed="false">
      <c r="A18" s="13" t="s">
        <v>69</v>
      </c>
      <c r="B18" s="14" t="s">
        <v>70</v>
      </c>
      <c r="C18" s="13" t="s">
        <v>31</v>
      </c>
      <c r="D18" s="10" t="s">
        <v>29</v>
      </c>
    </row>
    <row r="19" customFormat="false" ht="15" hidden="false" customHeight="false" outlineLevel="0" collapsed="false">
      <c r="A19" s="13" t="s">
        <v>71</v>
      </c>
      <c r="B19" s="14" t="s">
        <v>72</v>
      </c>
      <c r="C19" s="13" t="s">
        <v>31</v>
      </c>
      <c r="D19" s="10" t="s">
        <v>29</v>
      </c>
    </row>
    <row r="20" customFormat="false" ht="15" hidden="false" customHeight="false" outlineLevel="0" collapsed="false">
      <c r="A20" s="13" t="s">
        <v>73</v>
      </c>
      <c r="B20" s="14" t="s">
        <v>74</v>
      </c>
      <c r="C20" s="13" t="s">
        <v>31</v>
      </c>
      <c r="D20" s="10" t="s">
        <v>29</v>
      </c>
    </row>
    <row r="21" customFormat="false" ht="15" hidden="false" customHeight="false" outlineLevel="0" collapsed="false">
      <c r="A21" s="13" t="s">
        <v>75</v>
      </c>
      <c r="B21" s="14" t="s">
        <v>76</v>
      </c>
      <c r="C21" s="13" t="s">
        <v>31</v>
      </c>
      <c r="D21" s="10" t="s">
        <v>29</v>
      </c>
    </row>
    <row r="22" customFormat="false" ht="15" hidden="false" customHeight="false" outlineLevel="0" collapsed="false">
      <c r="A22" s="13" t="s">
        <v>77</v>
      </c>
      <c r="B22" s="14" t="s">
        <v>78</v>
      </c>
      <c r="C22" s="13" t="s">
        <v>26</v>
      </c>
      <c r="D22" s="10" t="s">
        <v>29</v>
      </c>
    </row>
    <row r="23" customFormat="false" ht="15" hidden="false" customHeight="false" outlineLevel="0" collapsed="false">
      <c r="A23" s="13" t="s">
        <v>79</v>
      </c>
      <c r="B23" s="14" t="s">
        <v>80</v>
      </c>
      <c r="C23" s="13" t="s">
        <v>26</v>
      </c>
      <c r="D23" s="10" t="s">
        <v>29</v>
      </c>
    </row>
    <row r="24" customFormat="false" ht="15" hidden="false" customHeight="false" outlineLevel="0" collapsed="false">
      <c r="A24" s="13" t="s">
        <v>81</v>
      </c>
      <c r="B24" s="14" t="s">
        <v>82</v>
      </c>
      <c r="C24" s="13" t="s">
        <v>26</v>
      </c>
      <c r="D24" s="10" t="s">
        <v>29</v>
      </c>
    </row>
    <row r="25" customFormat="false" ht="15" hidden="false" customHeight="false" outlineLevel="0" collapsed="false">
      <c r="A25" s="13" t="s">
        <v>83</v>
      </c>
      <c r="B25" s="14" t="s">
        <v>84</v>
      </c>
      <c r="C25" s="13" t="s">
        <v>26</v>
      </c>
      <c r="D25" s="10" t="s">
        <v>29</v>
      </c>
    </row>
    <row r="26" customFormat="false" ht="15" hidden="false" customHeight="false" outlineLevel="0" collapsed="false">
      <c r="A26" s="13" t="s">
        <v>85</v>
      </c>
      <c r="B26" s="14" t="s">
        <v>86</v>
      </c>
      <c r="C26" s="13" t="s">
        <v>28</v>
      </c>
      <c r="D26" s="10" t="s">
        <v>29</v>
      </c>
    </row>
    <row r="27" customFormat="false" ht="15" hidden="false" customHeight="false" outlineLevel="0" collapsed="false">
      <c r="A27" s="13" t="s">
        <v>87</v>
      </c>
      <c r="B27" s="14" t="s">
        <v>88</v>
      </c>
      <c r="C27" s="13" t="s">
        <v>28</v>
      </c>
      <c r="D27" s="10" t="s">
        <v>29</v>
      </c>
    </row>
    <row r="28" customFormat="false" ht="15" hidden="false" customHeight="false" outlineLevel="0" collapsed="false">
      <c r="A28" s="13" t="s">
        <v>89</v>
      </c>
      <c r="B28" s="14" t="s">
        <v>90</v>
      </c>
      <c r="C28" s="13" t="s">
        <v>28</v>
      </c>
      <c r="D28" s="1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6" min="3" style="0" width="18"/>
  </cols>
  <sheetData>
    <row r="1" customFormat="false" ht="15" hidden="false" customHeight="false" outlineLevel="0" collapsed="false">
      <c r="A1" s="15" t="s">
        <v>91</v>
      </c>
    </row>
    <row r="3" customFormat="false" ht="35.05" hidden="false" customHeight="false" outlineLevel="0" collapsed="false">
      <c r="A3" s="11" t="s">
        <v>92</v>
      </c>
      <c r="B3" s="16" t="n">
        <v>0.95</v>
      </c>
      <c r="C3" s="17" t="s">
        <v>93</v>
      </c>
    </row>
    <row r="4" customFormat="false" ht="46.25" hidden="false" customHeight="false" outlineLevel="0" collapsed="false">
      <c r="A4" s="11" t="s">
        <v>94</v>
      </c>
      <c r="B4" s="18" t="n">
        <v>9146.345656</v>
      </c>
      <c r="C4" s="17" t="s">
        <v>95</v>
      </c>
    </row>
    <row r="5" customFormat="false" ht="46.25" hidden="false" customHeight="false" outlineLevel="0" collapsed="false">
      <c r="A5" s="11" t="s">
        <v>96</v>
      </c>
      <c r="B5" s="18" t="n">
        <v>17059.70574</v>
      </c>
      <c r="C5" s="17" t="s">
        <v>97</v>
      </c>
    </row>
    <row r="7" customFormat="false" ht="15" hidden="false" customHeight="false" outlineLevel="0" collapsed="false">
      <c r="A7" s="7" t="s">
        <v>23</v>
      </c>
      <c r="B7" s="7" t="s">
        <v>24</v>
      </c>
      <c r="C7" s="7" t="s">
        <v>98</v>
      </c>
      <c r="D7" s="7" t="s">
        <v>99</v>
      </c>
      <c r="E7" s="7" t="s">
        <v>100</v>
      </c>
      <c r="F7" s="7" t="s">
        <v>101</v>
      </c>
    </row>
    <row r="8" customFormat="false" ht="15" hidden="false" customHeight="false" outlineLevel="0" collapsed="false">
      <c r="A8" s="8" t="s">
        <v>26</v>
      </c>
      <c r="B8" s="19" t="n">
        <f aca="false">Scrap_Regional_Share!B2</f>
        <v>0.578</v>
      </c>
      <c r="C8" s="20" t="n">
        <f aca="false">B8*$B$4</f>
        <v>5286.587789168</v>
      </c>
      <c r="D8" s="20" t="n">
        <f aca="false">C8/$B$3</f>
        <v>5564.82925175579</v>
      </c>
      <c r="E8" s="20" t="n">
        <f aca="false">B8*$B$5</f>
        <v>9860.50991772</v>
      </c>
      <c r="F8" s="20" t="n">
        <f aca="false">E8/$B$3</f>
        <v>10379.4841239158</v>
      </c>
    </row>
    <row r="9" customFormat="false" ht="15" hidden="false" customHeight="false" outlineLevel="0" collapsed="false">
      <c r="A9" s="8" t="s">
        <v>28</v>
      </c>
      <c r="B9" s="19" t="n">
        <f aca="false">Scrap_Regional_Share!B3</f>
        <v>0.228</v>
      </c>
      <c r="C9" s="20" t="n">
        <f aca="false">B9*$B$4</f>
        <v>2085.366809568</v>
      </c>
      <c r="D9" s="20" t="n">
        <f aca="false">C9/$B$3</f>
        <v>2195.12295744</v>
      </c>
      <c r="E9" s="20" t="n">
        <f aca="false">B9*$B$5</f>
        <v>3889.61290872</v>
      </c>
      <c r="F9" s="20" t="n">
        <f aca="false">E9/$B$3</f>
        <v>4094.3293776</v>
      </c>
    </row>
    <row r="10" customFormat="false" ht="15" hidden="false" customHeight="false" outlineLevel="0" collapsed="false">
      <c r="A10" s="8" t="s">
        <v>30</v>
      </c>
      <c r="B10" s="19" t="n">
        <f aca="false">Scrap_Regional_Share!B4</f>
        <v>0.11</v>
      </c>
      <c r="C10" s="20" t="n">
        <f aca="false">B10*$B$4</f>
        <v>1006.09802216</v>
      </c>
      <c r="D10" s="20" t="n">
        <f aca="false">C10/$B$3</f>
        <v>1059.05054964211</v>
      </c>
      <c r="E10" s="20" t="n">
        <f aca="false">B10*$B$5</f>
        <v>1876.5676314</v>
      </c>
      <c r="F10" s="20" t="n">
        <f aca="false">E10/$B$3</f>
        <v>1975.33434884211</v>
      </c>
    </row>
    <row r="11" customFormat="false" ht="15" hidden="false" customHeight="false" outlineLevel="0" collapsed="false">
      <c r="A11" s="8" t="s">
        <v>31</v>
      </c>
      <c r="B11" s="19" t="n">
        <f aca="false">Scrap_Regional_Share!B5</f>
        <v>0.041</v>
      </c>
      <c r="C11" s="20" t="n">
        <f aca="false">B11*$B$4</f>
        <v>375.000171896</v>
      </c>
      <c r="D11" s="20" t="n">
        <f aca="false">C11/$B$3</f>
        <v>394.737023048421</v>
      </c>
      <c r="E11" s="20" t="n">
        <f aca="false">B11*$B$5</f>
        <v>699.44793534</v>
      </c>
      <c r="F11" s="20" t="n">
        <f aca="false">E11/$B$3</f>
        <v>736.260984568421</v>
      </c>
    </row>
    <row r="12" customFormat="false" ht="15" hidden="false" customHeight="false" outlineLevel="0" collapsed="false">
      <c r="A12" s="8" t="s">
        <v>32</v>
      </c>
      <c r="B12" s="19" t="n">
        <f aca="false">Scrap_Regional_Share!B6</f>
        <v>0.043</v>
      </c>
      <c r="C12" s="20" t="n">
        <f aca="false">B12*$B$4</f>
        <v>393.292863208</v>
      </c>
      <c r="D12" s="20" t="n">
        <f aca="false">C12/$B$3</f>
        <v>413.992487587368</v>
      </c>
      <c r="E12" s="20" t="n">
        <f aca="false">B12*$B$5</f>
        <v>733.56734682</v>
      </c>
      <c r="F12" s="20" t="n">
        <f aca="false">E12/$B$3</f>
        <v>772.176154547369</v>
      </c>
    </row>
    <row r="13" customFormat="false" ht="15" hidden="false" customHeight="false" outlineLevel="0" collapsed="false">
      <c r="A13" s="11" t="s">
        <v>102</v>
      </c>
      <c r="B13" s="12" t="n">
        <f aca="false">SUM(B8:B12)</f>
        <v>1</v>
      </c>
      <c r="C13" s="21" t="n">
        <f aca="false">SUM(C8:C12)</f>
        <v>9146.345656</v>
      </c>
      <c r="D13" s="21" t="n">
        <f aca="false">SUM(D8:D12)</f>
        <v>9627.73226947368</v>
      </c>
      <c r="E13" s="21" t="n">
        <f aca="false">SUM(E8:E12)</f>
        <v>17059.70574</v>
      </c>
      <c r="F13" s="21" t="n">
        <f aca="false">SUM(F8:F12)</f>
        <v>17957.5849894737</v>
      </c>
    </row>
    <row r="15" customFormat="false" ht="124.6" hidden="false" customHeight="false" outlineLevel="0" collapsed="false">
      <c r="A15" s="17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2026-07-27T20:08:21Z</dcterms:created>
  <dc:creator>openpyxl</dc:creator>
  <dc:description/>
  <dc:language>en-US</dc:language>
  <cp:lastModifiedBy/>
  <dcterms:modified xsi:type="dcterms:W3CDTF">2026-07-27T20:08:21Z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