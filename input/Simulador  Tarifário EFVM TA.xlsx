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A66BEDBC-6FF6-4C63-86B7-574373E79754}" xr6:coauthVersionLast="45" xr6:coauthVersionMax="45" xr10:uidLastSave="{00000000-0000-0000-0000-000000000000}"/>
  <bookViews>
    <workbookView showHorizontalScroll="0" showVerticalScroll="0" xWindow="28680" yWindow="-120" windowWidth="29040" windowHeight="15840" xr2:uid="{00000000-000D-0000-FFFF-FFFF00000000}"/>
  </bookViews>
  <sheets>
    <sheet name="Tarifas EFVM" sheetId="4" r:id="rId1"/>
    <sheet name="PRODUTOS" sheetId="1" state="hidden" r:id="rId2"/>
  </sheets>
  <externalReferences>
    <externalReference r:id="rId3"/>
  </externalReferences>
  <definedNames>
    <definedName name="_xlnm._FilterDatabase" localSheetId="1" hidden="1">PRODUTOS!$A$1:$G$21</definedName>
    <definedName name="NOME">PRODUTOS!$C$2:$C$21</definedName>
    <definedName name="PASSAGEIROS">[1]PRODUTOS!$C$24:$C$25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4" l="1"/>
  <c r="E28" i="4"/>
  <c r="E30" i="4"/>
  <c r="E41" i="4"/>
  <c r="D13" i="4"/>
  <c r="D12" i="4"/>
  <c r="E14" i="4" s="1"/>
  <c r="D7" i="4"/>
  <c r="B5" i="4"/>
  <c r="E5" i="4"/>
  <c r="E31" i="4" l="1"/>
  <c r="B8" i="4"/>
  <c r="E13" i="4" l="1"/>
  <c r="E12" i="4"/>
  <c r="E43" i="4"/>
  <c r="E15" i="4" l="1"/>
</calcChain>
</file>

<file path=xl/sharedStrings.xml><?xml version="1.0" encoding="utf-8"?>
<sst xmlns="http://schemas.openxmlformats.org/spreadsheetml/2006/main" count="162" uniqueCount="64">
  <si>
    <t>CONCESSIONÁRIA</t>
  </si>
  <si>
    <t>FIXO</t>
  </si>
  <si>
    <t>CONCESSIONÁRIA:</t>
  </si>
  <si>
    <t>BASES DAS TARIFAS (NÃO INCLUÍDO O ICMS)</t>
  </si>
  <si>
    <t>UNIFIX</t>
  </si>
  <si>
    <t>UNIVAR</t>
  </si>
  <si>
    <t>ORDEM</t>
  </si>
  <si>
    <t>Distância Ferroviária (km):</t>
  </si>
  <si>
    <t>VIGÊNCIA</t>
  </si>
  <si>
    <t>VIGÊNCIA:</t>
  </si>
  <si>
    <t>Obs.: Informe a distância de transporte no campo em fundo azul.</t>
  </si>
  <si>
    <t>ESCOLHA O PRODUTO:</t>
  </si>
  <si>
    <t>&lt;- Valor máximo homologado para a distância selecionada.</t>
  </si>
  <si>
    <t>R$/t</t>
  </si>
  <si>
    <t>R$/t.km</t>
  </si>
  <si>
    <t>Direto de Passagem</t>
  </si>
  <si>
    <t>TABELA TARIFÁRIA PARA O DIREITO DE PASSAGEM</t>
  </si>
  <si>
    <t>FAIXA QUILOMÉTRICA ÚNICA</t>
  </si>
  <si>
    <t>Direito de Passagem</t>
  </si>
  <si>
    <t>Tarifa em R$/t</t>
  </si>
  <si>
    <t>ÚNICA</t>
  </si>
  <si>
    <t>Parcela VARIÁVEL</t>
  </si>
  <si>
    <t>Parcela FIXA</t>
  </si>
  <si>
    <t>DELIBERAÇÃO ANTT</t>
  </si>
  <si>
    <t>VALORES</t>
  </si>
  <si>
    <t>DELIBERAÇÃO</t>
  </si>
  <si>
    <t>MERCADORIA</t>
  </si>
  <si>
    <t>ADUBOS E FERTILIZANTES</t>
  </si>
  <si>
    <t>ANTRACITO/COQUE METALÚRGICO</t>
  </si>
  <si>
    <t>CAL</t>
  </si>
  <si>
    <t>CALCÁRIO SIDERÚRGICO</t>
  </si>
  <si>
    <t>CARVÃO MINERAL</t>
  </si>
  <si>
    <t>CELULOSE</t>
  </si>
  <si>
    <t>CONTÊINER CHEIO DE 20 PÉS</t>
  </si>
  <si>
    <t>CONTÊINER CHEIO DE 40 PÉS</t>
  </si>
  <si>
    <t>CONTÊINER VAZIO DE 20 PÉS</t>
  </si>
  <si>
    <t>CONTÊINER VAZIO DE 40 PÉS</t>
  </si>
  <si>
    <t>COQUE</t>
  </si>
  <si>
    <t>DEMAIS PRODUTOS</t>
  </si>
  <si>
    <t>ESCÓRIA</t>
  </si>
  <si>
    <t>FERRO GUSA</t>
  </si>
  <si>
    <t>MANGANÊS</t>
  </si>
  <si>
    <t>MÁQUINAS, MOTORES, PEÇAS E ACESSÓRIOS</t>
  </si>
  <si>
    <t>MINÉRIO DE FERRO</t>
  </si>
  <si>
    <t>PEDRAS EM BLOCOS E PLACAS</t>
  </si>
  <si>
    <t>PRODUTOS SIDERÚRGICOS</t>
  </si>
  <si>
    <t>TORAS DE MADEIRA</t>
  </si>
  <si>
    <t>R$/con</t>
  </si>
  <si>
    <t>R$/vg</t>
  </si>
  <si>
    <t>Anexo 4 - 3ª TA</t>
  </si>
  <si>
    <t>R$/con.km</t>
  </si>
  <si>
    <t>R$/vg.km</t>
  </si>
  <si>
    <t>ESTRADA DE FERRO VITÓRIA A MINAS</t>
  </si>
  <si>
    <t>Obs.: De acordo com a Resolução ANTT nº 4.040/13 o coque metalúrgico foi enquadrado na tabela do antracito</t>
  </si>
  <si>
    <t>TABELA TARIFÁRIA PASSAGEIROS</t>
  </si>
  <si>
    <t>PARCELA</t>
  </si>
  <si>
    <t xml:space="preserve">Composição da Tarifa </t>
  </si>
  <si>
    <t>CLASSE EXECUTIVA</t>
  </si>
  <si>
    <t>R$/PASSAGEIRO</t>
  </si>
  <si>
    <t>R$/PASSAGEIRO.KM</t>
  </si>
  <si>
    <t>CLASSE ECONÔMICA</t>
  </si>
  <si>
    <t>R$/pass.km</t>
  </si>
  <si>
    <t>R$/pass.</t>
  </si>
  <si>
    <t>ESTAS INFORMAÇÕES NÃO SUBSTITUEM AS PUBLICADAS OFICIALMENTE PELA 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</si>
</sst>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00_)"/>
    <numFmt numFmtId="166" formatCode="_(* #,##0_);_(* \(#,##0\);_(* &quot;-&quot;??_);_(@_)"/>
    <numFmt numFmtId="167" formatCode="0.000000"/>
    <numFmt numFmtId="168" formatCode="0.0000"/>
    <numFmt numFmtId="169" formatCode="dd/mm/yy;@"/>
    <numFmt numFmtId="170" formatCode="_(* #,##0.0000_);_(* \(#,##0.0000\);_(* &quot;-&quot;??_);_(@_)"/>
    <numFmt numFmtId="171" formatCode="0.00000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8"/>
      <color indexed="10"/>
      <name val="Arial"/>
      <family val="2"/>
    </font>
    <font>
      <b/>
      <sz val="8"/>
      <color indexed="23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5" fillId="0" borderId="2" xfId="0" applyFont="1" applyBorder="1" applyAlignment="1">
      <alignment horizontal="right"/>
    </xf>
    <xf numFmtId="0" fontId="5" fillId="0" borderId="4" xfId="0" applyFont="1" applyBorder="1"/>
    <xf numFmtId="2" fontId="4" fillId="0" borderId="6" xfId="0" quotePrefix="1" applyNumberFormat="1" applyFont="1" applyBorder="1" applyAlignment="1">
      <alignment horizontal="right"/>
    </xf>
    <xf numFmtId="0" fontId="5" fillId="0" borderId="7" xfId="0" applyFont="1" applyBorder="1"/>
    <xf numFmtId="0" fontId="5" fillId="0" borderId="8" xfId="0" applyFont="1" applyBorder="1" applyAlignment="1">
      <alignment horizontal="right"/>
    </xf>
    <xf numFmtId="0" fontId="5" fillId="0" borderId="9" xfId="0" applyFont="1" applyBorder="1"/>
    <xf numFmtId="0" fontId="5" fillId="0" borderId="10" xfId="0" quotePrefix="1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14" fontId="0" fillId="0" borderId="0" xfId="0" applyNumberFormat="1"/>
    <xf numFmtId="0" fontId="5" fillId="0" borderId="0" xfId="0" applyFont="1" applyBorder="1"/>
    <xf numFmtId="164" fontId="5" fillId="0" borderId="0" xfId="1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10" xfId="0" applyFont="1" applyBorder="1" applyAlignment="1">
      <alignment horizontal="right"/>
    </xf>
    <xf numFmtId="164" fontId="8" fillId="0" borderId="10" xfId="1" quotePrefix="1" applyFont="1" applyFill="1" applyBorder="1"/>
    <xf numFmtId="0" fontId="7" fillId="0" borderId="0" xfId="0" applyFont="1" applyProtection="1">
      <protection locked="0" hidden="1"/>
    </xf>
    <xf numFmtId="0" fontId="10" fillId="0" borderId="0" xfId="0" applyFont="1"/>
    <xf numFmtId="167" fontId="0" fillId="0" borderId="0" xfId="0" applyNumberFormat="1"/>
    <xf numFmtId="165" fontId="5" fillId="0" borderId="0" xfId="0" applyNumberFormat="1" applyFont="1" applyBorder="1" applyAlignment="1" applyProtection="1">
      <alignment horizontal="center"/>
    </xf>
    <xf numFmtId="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12" xfId="0" quotePrefix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3" fillId="0" borderId="0" xfId="0" applyNumberFormat="1" applyFont="1"/>
    <xf numFmtId="168" fontId="0" fillId="0" borderId="0" xfId="0" applyNumberFormat="1"/>
    <xf numFmtId="168" fontId="4" fillId="0" borderId="5" xfId="0" quotePrefix="1" applyNumberFormat="1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166" fontId="2" fillId="0" borderId="10" xfId="1" quotePrefix="1" applyNumberFormat="1" applyFont="1" applyBorder="1" applyAlignment="1">
      <alignment horizontal="center" vertical="center"/>
    </xf>
    <xf numFmtId="169" fontId="2" fillId="0" borderId="10" xfId="1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4" fontId="3" fillId="0" borderId="0" xfId="1" applyNumberFormat="1" applyFont="1"/>
    <xf numFmtId="170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Protection="1">
      <protection locked="0" hidden="1"/>
    </xf>
    <xf numFmtId="168" fontId="5" fillId="0" borderId="5" xfId="0" quotePrefix="1" applyNumberFormat="1" applyFont="1" applyBorder="1" applyAlignment="1">
      <alignment horizontal="right"/>
    </xf>
    <xf numFmtId="0" fontId="5" fillId="0" borderId="13" xfId="0" applyFont="1" applyBorder="1"/>
    <xf numFmtId="0" fontId="5" fillId="0" borderId="0" xfId="0" applyFont="1" applyAlignment="1">
      <alignment horizontal="center"/>
    </xf>
    <xf numFmtId="2" fontId="5" fillId="0" borderId="15" xfId="0" quotePrefix="1" applyNumberFormat="1" applyFont="1" applyBorder="1" applyAlignment="1">
      <alignment horizontal="right"/>
    </xf>
    <xf numFmtId="164" fontId="8" fillId="0" borderId="10" xfId="1" quotePrefix="1" applyFont="1" applyFill="1" applyBorder="1" applyProtection="1"/>
    <xf numFmtId="0" fontId="8" fillId="0" borderId="0" xfId="0" applyFont="1"/>
    <xf numFmtId="0" fontId="4" fillId="0" borderId="0" xfId="0" applyFont="1"/>
    <xf numFmtId="164" fontId="5" fillId="0" borderId="0" xfId="1" applyFont="1" applyBorder="1" applyProtection="1"/>
    <xf numFmtId="4" fontId="0" fillId="0" borderId="0" xfId="1" applyNumberFormat="1" applyFont="1"/>
    <xf numFmtId="170" fontId="3" fillId="0" borderId="0" xfId="1" applyNumberFormat="1" applyFont="1"/>
    <xf numFmtId="171" fontId="3" fillId="0" borderId="0" xfId="0" applyNumberFormat="1" applyFont="1"/>
    <xf numFmtId="0" fontId="5" fillId="0" borderId="14" xfId="0" applyFont="1" applyBorder="1" applyAlignment="1">
      <alignment horizontal="center" vertical="center"/>
    </xf>
    <xf numFmtId="0" fontId="13" fillId="0" borderId="0" xfId="0" applyFont="1"/>
    <xf numFmtId="0" fontId="4" fillId="0" borderId="0" xfId="0" applyFont="1" applyFill="1" applyAlignment="1"/>
    <xf numFmtId="0" fontId="14" fillId="4" borderId="0" xfId="0" applyFont="1" applyFill="1" applyBorder="1" applyAlignment="1">
      <alignment horizontal="center"/>
    </xf>
    <xf numFmtId="0" fontId="11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Lines="10" dropStyle="combo" dx="26" fmlaLink="$A$3" fmlaRange="PRODUTOS!$C$2:$C$21" sel="12" val="10"/>
</file>

<file path=xl/ctrlProps/ctrlProp2.xml><?xml version="1.0" encoding="utf-8"?>
<formControlPr xmlns="http://schemas.microsoft.com/office/spreadsheetml/2009/9/main" objectType="Drop" dropStyle="combo" dx="16" fmlaLink="$A$24" fmlaRange="PRODUTOS!$C$23:$C$24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1333500</xdr:colOff>
          <xdr:row>2</xdr:row>
          <xdr:rowOff>198120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7620</xdr:rowOff>
        </xdr:from>
        <xdr:to>
          <xdr:col>4</xdr:col>
          <xdr:colOff>1485900</xdr:colOff>
          <xdr:row>24</xdr:row>
          <xdr:rowOff>15240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dor%20Tarif&#225;rio%20EFV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as EFVM"/>
      <sheetName val="PRODUTOS"/>
    </sheetNames>
    <sheetDataSet>
      <sheetData sheetId="0"/>
      <sheetData sheetId="1">
        <row r="24">
          <cell r="C24" t="str">
            <v>CLASSE EXECUTIVA</v>
          </cell>
        </row>
        <row r="25">
          <cell r="C25" t="str">
            <v>CLASSE ECONÔMICA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1"/>
  <sheetViews>
    <sheetView showGridLines="0" showRowColHeaders="0" tabSelected="1" zoomScale="120" zoomScaleNormal="120" workbookViewId="0">
      <selection activeCell="G5" sqref="G5"/>
    </sheetView>
  </sheetViews>
  <sheetFormatPr defaultRowHeight="13.2" x14ac:dyDescent="0.25"/>
  <cols>
    <col min="1" max="1" width="9" customWidth="1"/>
    <col min="2" max="4" width="11" customWidth="1"/>
    <col min="5" max="5" width="22.88671875" customWidth="1"/>
  </cols>
  <sheetData>
    <row r="2" spans="1:6" x14ac:dyDescent="0.25">
      <c r="B2" s="7" t="s">
        <v>11</v>
      </c>
    </row>
    <row r="3" spans="1:6" ht="16.5" customHeight="1" x14ac:dyDescent="0.25">
      <c r="A3" s="26">
        <v>12</v>
      </c>
    </row>
    <row r="4" spans="1:6" ht="13.5" customHeight="1" x14ac:dyDescent="0.25">
      <c r="A4" s="8"/>
      <c r="B4" s="7" t="s">
        <v>9</v>
      </c>
      <c r="E4" s="7" t="s">
        <v>23</v>
      </c>
    </row>
    <row r="5" spans="1:6" ht="16.5" customHeight="1" x14ac:dyDescent="0.25">
      <c r="A5" s="8">
        <v>0</v>
      </c>
      <c r="B5" s="42">
        <f>VLOOKUP(A3,PRODUTOS!$A$2:$I$22,8)</f>
        <v>44183</v>
      </c>
      <c r="E5" s="41" t="str">
        <f>VLOOKUP(A3,PRODUTOS!$A$2:$I$22,9)</f>
        <v>Anexo 4 - 3ª TA</v>
      </c>
    </row>
    <row r="7" spans="1:6" x14ac:dyDescent="0.25">
      <c r="B7" s="2" t="s">
        <v>2</v>
      </c>
      <c r="C7" s="3"/>
      <c r="D7" s="22" t="str">
        <f>VLOOKUP(A3,PRODUTOS!$A$2:$I$22,2)</f>
        <v>ESTRADA DE FERRO VITÓRIA A MINAS</v>
      </c>
      <c r="E7" s="23"/>
    </row>
    <row r="8" spans="1:6" ht="24.6" customHeight="1" x14ac:dyDescent="0.25">
      <c r="B8" s="76" t="str">
        <f>CONCATENATE("TABELA TARIFÁRIA PARA A MERCADORIA ",VLOOKUP(A3,PRODUTOS!A2:C21,3,FALSE))</f>
        <v>TABELA TARIFÁRIA PARA A MERCADORIA DEMAIS PRODUTOS</v>
      </c>
      <c r="C8" s="76"/>
      <c r="D8" s="76"/>
      <c r="E8" s="76"/>
    </row>
    <row r="9" spans="1:6" x14ac:dyDescent="0.25">
      <c r="B9" s="40"/>
      <c r="C9" s="40"/>
      <c r="D9" s="40"/>
      <c r="E9" s="40"/>
    </row>
    <row r="10" spans="1:6" x14ac:dyDescent="0.25">
      <c r="B10" s="6" t="s">
        <v>3</v>
      </c>
      <c r="C10" s="5"/>
      <c r="D10" s="4"/>
      <c r="E10" s="5"/>
    </row>
    <row r="11" spans="1:6" x14ac:dyDescent="0.25">
      <c r="B11" s="13" t="s">
        <v>17</v>
      </c>
      <c r="C11" s="14"/>
      <c r="D11" s="15"/>
      <c r="E11" s="16" t="s">
        <v>24</v>
      </c>
    </row>
    <row r="12" spans="1:6" x14ac:dyDescent="0.25">
      <c r="B12" s="9" t="s">
        <v>21</v>
      </c>
      <c r="C12" s="10"/>
      <c r="D12" s="39" t="str">
        <f>VLOOKUP(A3,PRODUTOS!$A$2:$I$21,5)</f>
        <v>R$/t</v>
      </c>
      <c r="E12" s="38">
        <f>VLOOKUP(A3,PRODUTOS!A2:I21,6,FALSE)</f>
        <v>0.1384</v>
      </c>
    </row>
    <row r="13" spans="1:6" x14ac:dyDescent="0.25">
      <c r="B13" s="11" t="s">
        <v>22</v>
      </c>
      <c r="D13" s="33" t="str">
        <f>VLOOKUP(A3,PRODUTOS!$A$2:$I$21,7)</f>
        <v>R$/t.km</v>
      </c>
      <c r="E13" s="12">
        <f>VLOOKUP(A3,PRODUTOS!A2:I21,4,FALSE)</f>
        <v>24.13</v>
      </c>
    </row>
    <row r="14" spans="1:6" x14ac:dyDescent="0.25">
      <c r="B14" s="71" t="s">
        <v>7</v>
      </c>
      <c r="C14" s="72"/>
      <c r="D14" s="69">
        <v>1</v>
      </c>
      <c r="E14" s="24" t="str">
        <f>CONCATENATE("Tarifa em ",D12)</f>
        <v>Tarifa em R$/t</v>
      </c>
    </row>
    <row r="15" spans="1:6" x14ac:dyDescent="0.25">
      <c r="B15" s="73"/>
      <c r="C15" s="74"/>
      <c r="D15" s="70"/>
      <c r="E15" s="25">
        <f>ROUND((E12*D14)+E13,2)</f>
        <v>24.27</v>
      </c>
      <c r="F15" s="56" t="s">
        <v>12</v>
      </c>
    </row>
    <row r="16" spans="1:6" x14ac:dyDescent="0.25">
      <c r="B16" s="20"/>
      <c r="C16" s="18"/>
      <c r="D16" s="20"/>
      <c r="E16" s="21"/>
    </row>
    <row r="17" spans="1:12" x14ac:dyDescent="0.25">
      <c r="B17" s="68" t="s">
        <v>10</v>
      </c>
      <c r="C17" s="68"/>
      <c r="D17" s="68"/>
      <c r="E17" s="68"/>
    </row>
    <row r="18" spans="1:12" x14ac:dyDescent="0.25">
      <c r="B18" s="20"/>
      <c r="C18" s="18"/>
      <c r="D18" s="20"/>
      <c r="E18" s="21"/>
    </row>
    <row r="19" spans="1:12" x14ac:dyDescent="0.25">
      <c r="B19" s="66" t="s">
        <v>53</v>
      </c>
      <c r="C19" s="66"/>
      <c r="D19" s="66"/>
      <c r="E19" s="66"/>
    </row>
    <row r="20" spans="1:12" x14ac:dyDescent="0.25">
      <c r="B20" s="67"/>
      <c r="C20" s="67"/>
      <c r="D20" s="67"/>
      <c r="E20" s="67"/>
    </row>
    <row r="21" spans="1:12" x14ac:dyDescent="0.25">
      <c r="B21" s="20"/>
      <c r="C21" s="18"/>
      <c r="D21" s="20"/>
      <c r="E21" s="21"/>
    </row>
    <row r="22" spans="1:12" x14ac:dyDescent="0.25">
      <c r="B22" s="20"/>
      <c r="C22" s="18"/>
      <c r="D22" s="20"/>
      <c r="E22" s="21"/>
    </row>
    <row r="23" spans="1:12" x14ac:dyDescent="0.25">
      <c r="B23" s="2" t="s">
        <v>2</v>
      </c>
      <c r="C23" s="3"/>
      <c r="D23" s="22" t="s">
        <v>52</v>
      </c>
      <c r="E23" s="23"/>
      <c r="F23" s="3"/>
      <c r="G23" s="3"/>
      <c r="H23" s="3"/>
      <c r="I23" s="3"/>
      <c r="J23" s="3"/>
      <c r="K23" s="3"/>
      <c r="L23" s="3"/>
    </row>
    <row r="24" spans="1:12" ht="13.8" customHeight="1" x14ac:dyDescent="0.25">
      <c r="A24" s="63">
        <v>2</v>
      </c>
      <c r="B24" s="76" t="s">
        <v>54</v>
      </c>
      <c r="C24" s="76"/>
      <c r="D24" s="76"/>
      <c r="E24" s="40"/>
      <c r="F24" s="50">
        <v>1</v>
      </c>
      <c r="G24" s="3"/>
      <c r="H24" s="3"/>
      <c r="I24" s="3"/>
      <c r="J24" s="3"/>
      <c r="K24" s="3"/>
      <c r="L24" s="3"/>
    </row>
    <row r="25" spans="1:12" x14ac:dyDescent="0.25">
      <c r="B25" s="3"/>
      <c r="C25" s="47"/>
      <c r="D25" s="3"/>
      <c r="E25" s="3"/>
      <c r="G25" s="3"/>
      <c r="H25" s="3"/>
      <c r="I25" s="3"/>
      <c r="J25" s="3"/>
      <c r="K25" s="3"/>
      <c r="L25" s="3"/>
    </row>
    <row r="26" spans="1:12" x14ac:dyDescent="0.25">
      <c r="B26" s="6" t="s">
        <v>3</v>
      </c>
      <c r="C26" s="5"/>
      <c r="D26" s="4"/>
      <c r="E26" s="5"/>
      <c r="F26" s="4"/>
      <c r="G26" s="4"/>
      <c r="H26" s="4"/>
      <c r="I26" s="4"/>
      <c r="J26" s="4"/>
      <c r="K26" s="4"/>
      <c r="L26" s="3"/>
    </row>
    <row r="27" spans="1:12" x14ac:dyDescent="0.25">
      <c r="B27" s="13" t="s">
        <v>55</v>
      </c>
      <c r="C27" s="14"/>
      <c r="D27" s="15"/>
      <c r="E27" s="17" t="s">
        <v>56</v>
      </c>
      <c r="F27" s="4"/>
      <c r="G27" s="4"/>
      <c r="H27" s="4"/>
      <c r="I27" s="4"/>
      <c r="J27" s="4"/>
      <c r="K27" s="4"/>
      <c r="L27" s="3"/>
    </row>
    <row r="28" spans="1:12" x14ac:dyDescent="0.25">
      <c r="B28" s="9" t="s">
        <v>21</v>
      </c>
      <c r="C28" s="10"/>
      <c r="D28" s="39" t="s">
        <v>61</v>
      </c>
      <c r="E28" s="51">
        <f>VLOOKUP(A24,PRODUTOS!$A$23:$I$24,6)</f>
        <v>0.16869999999999999</v>
      </c>
      <c r="F28" s="4"/>
      <c r="G28" s="4"/>
      <c r="H28" s="4"/>
      <c r="I28" s="4"/>
      <c r="J28" s="4"/>
      <c r="K28" s="4"/>
      <c r="L28" s="3"/>
    </row>
    <row r="29" spans="1:12" x14ac:dyDescent="0.25">
      <c r="B29" s="52" t="s">
        <v>22</v>
      </c>
      <c r="C29" s="53"/>
      <c r="D29" s="62" t="s">
        <v>62</v>
      </c>
      <c r="E29" s="54">
        <f>VLOOKUP(A24,PRODUTOS!$A$23:$I$24,4)</f>
        <v>8.14</v>
      </c>
      <c r="F29" s="4"/>
      <c r="G29" s="4"/>
      <c r="H29" s="4"/>
      <c r="I29" s="4"/>
      <c r="J29" s="4"/>
      <c r="K29" s="4"/>
      <c r="L29" s="3"/>
    </row>
    <row r="30" spans="1:12" ht="13.8" customHeight="1" x14ac:dyDescent="0.25">
      <c r="B30" s="77" t="s">
        <v>7</v>
      </c>
      <c r="C30" s="78"/>
      <c r="D30" s="81">
        <v>1</v>
      </c>
      <c r="E30" s="24" t="str">
        <f>CONCATENATE("Tarifa em ",D29)</f>
        <v>Tarifa em R$/pass.</v>
      </c>
      <c r="F30" s="4"/>
      <c r="G30" s="4"/>
      <c r="H30" s="4"/>
      <c r="I30" s="4"/>
      <c r="J30" s="4"/>
      <c r="K30" s="4"/>
      <c r="L30" s="3"/>
    </row>
    <row r="31" spans="1:12" x14ac:dyDescent="0.25">
      <c r="B31" s="79"/>
      <c r="C31" s="80"/>
      <c r="D31" s="82"/>
      <c r="E31" s="55">
        <f>ROUND(E29+(D30*E28),2)</f>
        <v>8.31</v>
      </c>
      <c r="F31" s="56" t="s">
        <v>12</v>
      </c>
      <c r="G31" s="57"/>
      <c r="H31" s="57"/>
      <c r="I31" s="57"/>
      <c r="J31" s="57"/>
      <c r="K31" s="57"/>
      <c r="L31" s="3"/>
    </row>
    <row r="32" spans="1:12" ht="13.8" customHeight="1" x14ac:dyDescent="0.25">
      <c r="B32" s="4"/>
      <c r="C32" s="5"/>
      <c r="D32" s="4"/>
      <c r="E32" s="58"/>
      <c r="F32" s="4"/>
      <c r="G32" s="4"/>
      <c r="H32" s="4"/>
      <c r="I32" s="4"/>
      <c r="J32" s="4"/>
      <c r="K32" s="4"/>
      <c r="L32" s="3"/>
    </row>
    <row r="33" spans="2:12" x14ac:dyDescent="0.25">
      <c r="B33" s="68" t="s">
        <v>10</v>
      </c>
      <c r="C33" s="68"/>
      <c r="D33" s="68"/>
      <c r="E33" s="68"/>
      <c r="F33" s="64"/>
      <c r="G33" s="4"/>
      <c r="H33" s="4"/>
      <c r="I33" s="4"/>
      <c r="J33" s="4"/>
      <c r="K33" s="4"/>
      <c r="L33" s="3"/>
    </row>
    <row r="34" spans="2:12" x14ac:dyDescent="0.25">
      <c r="B34" s="20"/>
      <c r="C34" s="18"/>
      <c r="D34" s="20"/>
      <c r="E34" s="21"/>
    </row>
    <row r="35" spans="2:12" x14ac:dyDescent="0.25">
      <c r="B35" s="20"/>
      <c r="C35" s="18"/>
      <c r="D35" s="20"/>
      <c r="E35" s="21"/>
    </row>
    <row r="36" spans="2:12" ht="13.8" customHeight="1" x14ac:dyDescent="0.25">
      <c r="B36" s="2" t="s">
        <v>2</v>
      </c>
      <c r="C36" s="3"/>
      <c r="D36" s="22" t="s">
        <v>52</v>
      </c>
      <c r="E36" s="23"/>
    </row>
    <row r="37" spans="2:12" ht="13.2" customHeight="1" x14ac:dyDescent="0.25">
      <c r="B37" s="76" t="s">
        <v>16</v>
      </c>
      <c r="C37" s="76"/>
      <c r="D37" s="76"/>
      <c r="E37" s="76"/>
    </row>
    <row r="38" spans="2:12" x14ac:dyDescent="0.25">
      <c r="B38" s="4"/>
      <c r="C38" s="5"/>
      <c r="D38" s="4"/>
      <c r="E38" s="4"/>
    </row>
    <row r="39" spans="2:12" x14ac:dyDescent="0.25">
      <c r="B39" s="6" t="s">
        <v>3</v>
      </c>
      <c r="C39" s="5"/>
      <c r="D39" s="4"/>
      <c r="E39" s="5"/>
    </row>
    <row r="40" spans="2:12" x14ac:dyDescent="0.25">
      <c r="B40" s="13" t="s">
        <v>17</v>
      </c>
      <c r="C40" s="14"/>
      <c r="D40" s="15"/>
      <c r="E40" s="17" t="s">
        <v>24</v>
      </c>
    </row>
    <row r="41" spans="2:12" x14ac:dyDescent="0.25">
      <c r="B41" s="9" t="s">
        <v>18</v>
      </c>
      <c r="C41" s="10"/>
      <c r="D41" s="39" t="s">
        <v>14</v>
      </c>
      <c r="E41" s="38">
        <f>PRODUTOS!F22</f>
        <v>3.56E-2</v>
      </c>
    </row>
    <row r="42" spans="2:12" x14ac:dyDescent="0.25">
      <c r="B42" s="71" t="s">
        <v>7</v>
      </c>
      <c r="C42" s="72"/>
      <c r="D42" s="69">
        <v>1</v>
      </c>
      <c r="E42" s="24" t="s">
        <v>19</v>
      </c>
    </row>
    <row r="43" spans="2:12" x14ac:dyDescent="0.25">
      <c r="B43" s="73"/>
      <c r="C43" s="74"/>
      <c r="D43" s="70"/>
      <c r="E43" s="25">
        <f>ROUND(D42*$E$41,2)</f>
        <v>0.04</v>
      </c>
      <c r="F43" s="56" t="s">
        <v>12</v>
      </c>
    </row>
    <row r="44" spans="2:12" x14ac:dyDescent="0.25">
      <c r="B44" s="20"/>
      <c r="C44" s="18"/>
      <c r="D44" s="20"/>
      <c r="E44" s="21"/>
    </row>
    <row r="45" spans="2:12" x14ac:dyDescent="0.25">
      <c r="B45" s="75" t="s">
        <v>10</v>
      </c>
      <c r="C45" s="75"/>
      <c r="D45" s="75"/>
      <c r="E45" s="75"/>
    </row>
    <row r="46" spans="2:12" x14ac:dyDescent="0.25">
      <c r="B46" s="20"/>
      <c r="C46" s="18"/>
      <c r="D46" s="20"/>
      <c r="E46" s="21"/>
    </row>
    <row r="47" spans="2:12" x14ac:dyDescent="0.25">
      <c r="B47" s="65" t="s">
        <v>63</v>
      </c>
      <c r="C47" s="65"/>
      <c r="D47" s="65"/>
      <c r="E47" s="65"/>
      <c r="F47" s="65"/>
    </row>
    <row r="48" spans="2:12" x14ac:dyDescent="0.25">
      <c r="B48" s="20"/>
      <c r="C48" s="18"/>
      <c r="D48" s="20"/>
      <c r="E48" s="21"/>
    </row>
    <row r="49" spans="2:5" x14ac:dyDescent="0.25">
      <c r="B49" s="20"/>
      <c r="C49" s="18"/>
      <c r="D49" s="20"/>
      <c r="E49" s="21"/>
    </row>
    <row r="50" spans="2:5" x14ac:dyDescent="0.25">
      <c r="B50" s="20"/>
      <c r="C50" s="18"/>
      <c r="D50" s="20"/>
      <c r="E50" s="21"/>
    </row>
    <row r="51" spans="2:5" x14ac:dyDescent="0.25">
      <c r="B51" s="20"/>
      <c r="C51" s="18"/>
      <c r="D51" s="20"/>
      <c r="E51" s="21"/>
    </row>
    <row r="52" spans="2:5" x14ac:dyDescent="0.25">
      <c r="B52" s="20"/>
      <c r="C52" s="18"/>
      <c r="D52" s="20"/>
      <c r="E52" s="21"/>
    </row>
    <row r="53" spans="2:5" x14ac:dyDescent="0.25">
      <c r="B53" s="20"/>
      <c r="C53" s="18"/>
      <c r="D53" s="20"/>
      <c r="E53" s="21"/>
    </row>
    <row r="54" spans="2:5" x14ac:dyDescent="0.25">
      <c r="B54" s="20"/>
      <c r="C54" s="18"/>
      <c r="D54" s="20"/>
      <c r="E54" s="21"/>
    </row>
    <row r="55" spans="2:5" x14ac:dyDescent="0.25">
      <c r="B55" s="20"/>
      <c r="C55" s="18"/>
      <c r="D55" s="20"/>
      <c r="E55" s="21"/>
    </row>
    <row r="56" spans="2:5" x14ac:dyDescent="0.25">
      <c r="B56" s="20"/>
      <c r="C56" s="18"/>
      <c r="D56" s="20"/>
      <c r="E56" s="21"/>
    </row>
    <row r="57" spans="2:5" x14ac:dyDescent="0.25">
      <c r="B57" s="20"/>
      <c r="C57" s="18"/>
      <c r="D57" s="20"/>
      <c r="E57" s="21"/>
    </row>
    <row r="58" spans="2:5" x14ac:dyDescent="0.25">
      <c r="B58" s="20"/>
      <c r="C58" s="18"/>
      <c r="D58" s="20"/>
      <c r="E58" s="21"/>
    </row>
    <row r="59" spans="2:5" x14ac:dyDescent="0.25">
      <c r="B59" s="20"/>
      <c r="C59" s="18"/>
      <c r="D59" s="20"/>
      <c r="E59" s="21"/>
    </row>
    <row r="60" spans="2:5" x14ac:dyDescent="0.25">
      <c r="B60" s="20"/>
      <c r="C60" s="18"/>
      <c r="D60" s="20"/>
      <c r="E60" s="21"/>
    </row>
    <row r="61" spans="2:5" x14ac:dyDescent="0.25">
      <c r="B61" s="20"/>
      <c r="C61" s="18"/>
      <c r="D61" s="20"/>
      <c r="E61" s="21"/>
    </row>
    <row r="62" spans="2:5" x14ac:dyDescent="0.25">
      <c r="B62" s="20"/>
      <c r="C62" s="18"/>
      <c r="D62" s="20"/>
      <c r="E62" s="21"/>
    </row>
    <row r="63" spans="2:5" x14ac:dyDescent="0.25">
      <c r="B63" s="20"/>
      <c r="C63" s="18"/>
      <c r="D63" s="20"/>
      <c r="E63" s="21"/>
    </row>
    <row r="64" spans="2:5" x14ac:dyDescent="0.25">
      <c r="B64" s="20"/>
      <c r="C64" s="18"/>
      <c r="D64" s="20"/>
      <c r="E64" s="21"/>
    </row>
    <row r="65" spans="2:5" x14ac:dyDescent="0.25">
      <c r="B65" s="20"/>
      <c r="C65" s="18"/>
      <c r="D65" s="20"/>
      <c r="E65" s="21"/>
    </row>
    <row r="66" spans="2:5" x14ac:dyDescent="0.25">
      <c r="B66" s="20"/>
      <c r="C66" s="18"/>
      <c r="D66" s="20"/>
      <c r="E66" s="21"/>
    </row>
    <row r="67" spans="2:5" x14ac:dyDescent="0.25">
      <c r="B67" s="20"/>
      <c r="C67" s="18"/>
      <c r="D67" s="20"/>
      <c r="E67" s="21"/>
    </row>
    <row r="68" spans="2:5" x14ac:dyDescent="0.25">
      <c r="B68" s="20"/>
      <c r="C68" s="18"/>
      <c r="D68" s="20"/>
      <c r="E68" s="21"/>
    </row>
    <row r="69" spans="2:5" x14ac:dyDescent="0.25">
      <c r="B69" s="20"/>
      <c r="C69" s="18"/>
      <c r="D69" s="20"/>
      <c r="E69" s="21"/>
    </row>
    <row r="70" spans="2:5" x14ac:dyDescent="0.25">
      <c r="B70" s="20"/>
      <c r="C70" s="18"/>
      <c r="D70" s="20"/>
      <c r="E70" s="21"/>
    </row>
    <row r="71" spans="2:5" x14ac:dyDescent="0.25">
      <c r="B71" s="20"/>
      <c r="C71" s="18"/>
      <c r="D71" s="20"/>
      <c r="E71" s="21"/>
    </row>
    <row r="72" spans="2:5" x14ac:dyDescent="0.25">
      <c r="B72" s="20"/>
      <c r="C72" s="18"/>
      <c r="D72" s="20"/>
      <c r="E72" s="21"/>
    </row>
    <row r="73" spans="2:5" x14ac:dyDescent="0.25">
      <c r="B73" s="20"/>
      <c r="C73" s="18"/>
      <c r="D73" s="20"/>
      <c r="E73" s="21"/>
    </row>
    <row r="74" spans="2:5" x14ac:dyDescent="0.25">
      <c r="B74" s="20"/>
      <c r="C74" s="18"/>
      <c r="D74" s="20"/>
      <c r="E74" s="21"/>
    </row>
    <row r="75" spans="2:5" x14ac:dyDescent="0.25">
      <c r="B75" s="20"/>
      <c r="C75" s="18"/>
      <c r="D75" s="20"/>
      <c r="E75" s="21"/>
    </row>
    <row r="76" spans="2:5" x14ac:dyDescent="0.25">
      <c r="B76" s="20"/>
      <c r="C76" s="18"/>
      <c r="D76" s="20"/>
      <c r="E76" s="21"/>
    </row>
    <row r="77" spans="2:5" x14ac:dyDescent="0.25">
      <c r="B77" s="20"/>
      <c r="C77" s="18"/>
      <c r="D77" s="20"/>
      <c r="E77" s="21"/>
    </row>
    <row r="78" spans="2:5" x14ac:dyDescent="0.25">
      <c r="B78" s="20"/>
      <c r="C78" s="18"/>
      <c r="D78" s="20"/>
      <c r="E78" s="21"/>
    </row>
    <row r="79" spans="2:5" x14ac:dyDescent="0.25">
      <c r="B79" s="20"/>
      <c r="C79" s="18"/>
      <c r="D79" s="20"/>
      <c r="E79" s="21"/>
    </row>
    <row r="80" spans="2:5" x14ac:dyDescent="0.25">
      <c r="B80" s="20"/>
      <c r="C80" s="18"/>
      <c r="D80" s="20"/>
      <c r="E80" s="21"/>
    </row>
    <row r="81" spans="2:5" x14ac:dyDescent="0.25">
      <c r="B81" s="20"/>
      <c r="C81" s="18"/>
      <c r="D81" s="20"/>
      <c r="E81" s="21"/>
    </row>
    <row r="82" spans="2:5" x14ac:dyDescent="0.25">
      <c r="B82" s="20"/>
      <c r="C82" s="18"/>
      <c r="D82" s="20"/>
      <c r="E82" s="21"/>
    </row>
    <row r="83" spans="2:5" x14ac:dyDescent="0.25">
      <c r="B83" s="20"/>
      <c r="C83" s="18"/>
      <c r="D83" s="20"/>
      <c r="E83" s="21"/>
    </row>
    <row r="84" spans="2:5" x14ac:dyDescent="0.25">
      <c r="B84" s="20"/>
      <c r="C84" s="18"/>
      <c r="D84" s="20"/>
      <c r="E84" s="21"/>
    </row>
    <row r="85" spans="2:5" x14ac:dyDescent="0.25">
      <c r="B85" s="20"/>
      <c r="C85" s="18"/>
      <c r="D85" s="20"/>
      <c r="E85" s="21"/>
    </row>
    <row r="86" spans="2:5" x14ac:dyDescent="0.25">
      <c r="B86" s="20"/>
      <c r="C86" s="18"/>
      <c r="D86" s="20"/>
      <c r="E86" s="21"/>
    </row>
    <row r="87" spans="2:5" x14ac:dyDescent="0.25">
      <c r="B87" s="20"/>
      <c r="C87" s="18"/>
      <c r="D87" s="20"/>
      <c r="E87" s="21"/>
    </row>
    <row r="88" spans="2:5" x14ac:dyDescent="0.25">
      <c r="B88" s="20"/>
      <c r="C88" s="18"/>
      <c r="D88" s="20"/>
      <c r="E88" s="21"/>
    </row>
    <row r="89" spans="2:5" x14ac:dyDescent="0.25">
      <c r="B89" s="20"/>
      <c r="C89" s="18"/>
      <c r="D89" s="20"/>
      <c r="E89" s="21"/>
    </row>
    <row r="90" spans="2:5" x14ac:dyDescent="0.25">
      <c r="B90" s="20"/>
      <c r="C90" s="18"/>
      <c r="D90" s="20"/>
      <c r="E90" s="21"/>
    </row>
    <row r="91" spans="2:5" x14ac:dyDescent="0.25">
      <c r="B91" s="20"/>
      <c r="C91" s="18"/>
      <c r="D91" s="20"/>
      <c r="E91" s="21"/>
    </row>
    <row r="92" spans="2:5" x14ac:dyDescent="0.25">
      <c r="B92" s="20"/>
      <c r="C92" s="18"/>
      <c r="D92" s="20"/>
      <c r="E92" s="21"/>
    </row>
    <row r="93" spans="2:5" x14ac:dyDescent="0.25">
      <c r="B93" s="20"/>
      <c r="C93" s="18"/>
      <c r="D93" s="20"/>
      <c r="E93" s="21"/>
    </row>
    <row r="94" spans="2:5" x14ac:dyDescent="0.25">
      <c r="B94" s="20"/>
      <c r="C94" s="18"/>
      <c r="D94" s="20"/>
      <c r="E94" s="21"/>
    </row>
    <row r="95" spans="2:5" x14ac:dyDescent="0.25">
      <c r="B95" s="20"/>
      <c r="C95" s="18"/>
      <c r="D95" s="20"/>
      <c r="E95" s="21"/>
    </row>
    <row r="96" spans="2:5" x14ac:dyDescent="0.25">
      <c r="B96" s="20"/>
      <c r="C96" s="18"/>
      <c r="D96" s="20"/>
      <c r="E96" s="21"/>
    </row>
    <row r="97" spans="2:5" x14ac:dyDescent="0.25">
      <c r="B97" s="20"/>
      <c r="C97" s="18"/>
      <c r="D97" s="20"/>
      <c r="E97" s="21"/>
    </row>
    <row r="98" spans="2:5" x14ac:dyDescent="0.25">
      <c r="B98" s="20"/>
      <c r="C98" s="18"/>
      <c r="D98" s="20"/>
      <c r="E98" s="21"/>
    </row>
    <row r="99" spans="2:5" x14ac:dyDescent="0.25">
      <c r="B99" s="20"/>
      <c r="C99" s="18"/>
      <c r="D99" s="20"/>
      <c r="E99" s="21"/>
    </row>
    <row r="100" spans="2:5" x14ac:dyDescent="0.25">
      <c r="B100" s="20"/>
      <c r="C100" s="18"/>
      <c r="D100" s="20"/>
      <c r="E100" s="21"/>
    </row>
    <row r="101" spans="2:5" x14ac:dyDescent="0.25">
      <c r="B101" s="20"/>
      <c r="C101" s="18"/>
      <c r="D101" s="20"/>
      <c r="E101" s="21"/>
    </row>
    <row r="102" spans="2:5" x14ac:dyDescent="0.25">
      <c r="B102" s="20"/>
      <c r="C102" s="18"/>
      <c r="D102" s="20"/>
      <c r="E102" s="21"/>
    </row>
    <row r="103" spans="2:5" x14ac:dyDescent="0.25">
      <c r="B103" s="20"/>
      <c r="C103" s="18"/>
      <c r="D103" s="20"/>
      <c r="E103" s="21"/>
    </row>
    <row r="104" spans="2:5" x14ac:dyDescent="0.25">
      <c r="B104" s="20"/>
      <c r="C104" s="18"/>
      <c r="D104" s="20"/>
      <c r="E104" s="21"/>
    </row>
    <row r="105" spans="2:5" x14ac:dyDescent="0.25">
      <c r="B105" s="20"/>
      <c r="C105" s="18"/>
      <c r="D105" s="20"/>
      <c r="E105" s="21"/>
    </row>
    <row r="106" spans="2:5" x14ac:dyDescent="0.25">
      <c r="B106" s="20"/>
      <c r="C106" s="18"/>
      <c r="D106" s="20"/>
      <c r="E106" s="21"/>
    </row>
    <row r="107" spans="2:5" x14ac:dyDescent="0.25">
      <c r="B107" s="20"/>
      <c r="C107" s="18"/>
      <c r="D107" s="20"/>
      <c r="E107" s="21"/>
    </row>
    <row r="108" spans="2:5" x14ac:dyDescent="0.25">
      <c r="B108" s="20"/>
      <c r="C108" s="18"/>
      <c r="D108" s="20"/>
      <c r="E108" s="21"/>
    </row>
    <row r="109" spans="2:5" x14ac:dyDescent="0.25">
      <c r="B109" s="20"/>
      <c r="C109" s="18"/>
      <c r="D109" s="20"/>
      <c r="E109" s="21"/>
    </row>
    <row r="110" spans="2:5" x14ac:dyDescent="0.25">
      <c r="B110" s="20"/>
      <c r="C110" s="18"/>
      <c r="D110" s="20"/>
      <c r="E110" s="21"/>
    </row>
    <row r="111" spans="2:5" x14ac:dyDescent="0.25">
      <c r="B111" s="20"/>
      <c r="C111" s="18"/>
      <c r="D111" s="20"/>
      <c r="E111" s="21"/>
    </row>
    <row r="112" spans="2:5" x14ac:dyDescent="0.25">
      <c r="B112" s="20"/>
      <c r="C112" s="18"/>
      <c r="D112" s="20"/>
      <c r="E112" s="21"/>
    </row>
    <row r="113" spans="2:5" x14ac:dyDescent="0.25">
      <c r="B113" s="20"/>
      <c r="C113" s="18"/>
      <c r="D113" s="20"/>
      <c r="E113" s="21"/>
    </row>
    <row r="114" spans="2:5" x14ac:dyDescent="0.25">
      <c r="B114" s="20"/>
      <c r="C114" s="18"/>
      <c r="D114" s="20"/>
      <c r="E114" s="21"/>
    </row>
    <row r="115" spans="2:5" x14ac:dyDescent="0.25">
      <c r="B115" s="20"/>
      <c r="C115" s="18"/>
      <c r="D115" s="20"/>
      <c r="E115" s="21"/>
    </row>
    <row r="116" spans="2:5" x14ac:dyDescent="0.25">
      <c r="B116" s="20"/>
      <c r="C116" s="18"/>
      <c r="D116" s="20"/>
      <c r="E116" s="21"/>
    </row>
    <row r="117" spans="2:5" x14ac:dyDescent="0.25">
      <c r="B117" s="20"/>
      <c r="C117" s="18"/>
      <c r="D117" s="20"/>
      <c r="E117" s="21"/>
    </row>
    <row r="118" spans="2:5" x14ac:dyDescent="0.25">
      <c r="B118" s="20"/>
      <c r="C118" s="18"/>
      <c r="D118" s="20"/>
      <c r="E118" s="21"/>
    </row>
    <row r="119" spans="2:5" x14ac:dyDescent="0.25">
      <c r="B119" s="20"/>
      <c r="C119" s="18"/>
      <c r="D119" s="20"/>
      <c r="E119" s="21"/>
    </row>
    <row r="120" spans="2:5" x14ac:dyDescent="0.25">
      <c r="B120" s="20"/>
      <c r="C120" s="18"/>
      <c r="D120" s="20"/>
      <c r="E120" s="21"/>
    </row>
    <row r="121" spans="2:5" x14ac:dyDescent="0.25">
      <c r="B121" s="20"/>
      <c r="C121" s="18"/>
      <c r="D121" s="20"/>
      <c r="E121" s="21"/>
    </row>
    <row r="122" spans="2:5" x14ac:dyDescent="0.25">
      <c r="B122" s="20"/>
      <c r="C122" s="18"/>
      <c r="D122" s="20"/>
      <c r="E122" s="21"/>
    </row>
    <row r="123" spans="2:5" x14ac:dyDescent="0.25">
      <c r="B123" s="20"/>
      <c r="C123" s="18"/>
      <c r="D123" s="20"/>
      <c r="E123" s="21"/>
    </row>
    <row r="124" spans="2:5" x14ac:dyDescent="0.25">
      <c r="B124" s="20"/>
      <c r="C124" s="18"/>
      <c r="D124" s="20"/>
      <c r="E124" s="21"/>
    </row>
    <row r="125" spans="2:5" x14ac:dyDescent="0.25">
      <c r="B125" s="20"/>
      <c r="C125" s="18"/>
      <c r="D125" s="20"/>
      <c r="E125" s="21"/>
    </row>
    <row r="126" spans="2:5" x14ac:dyDescent="0.25">
      <c r="B126" s="20"/>
      <c r="C126" s="18"/>
      <c r="D126" s="20"/>
      <c r="E126" s="21"/>
    </row>
    <row r="127" spans="2:5" x14ac:dyDescent="0.25">
      <c r="B127" s="20"/>
      <c r="C127" s="18"/>
      <c r="D127" s="20"/>
      <c r="E127" s="21"/>
    </row>
    <row r="128" spans="2:5" x14ac:dyDescent="0.25">
      <c r="B128" s="20"/>
      <c r="C128" s="18"/>
      <c r="D128" s="20"/>
      <c r="E128" s="21"/>
    </row>
    <row r="129" spans="2:5" x14ac:dyDescent="0.25">
      <c r="B129" s="20"/>
      <c r="C129" s="18"/>
      <c r="D129" s="20"/>
      <c r="E129" s="21"/>
    </row>
    <row r="130" spans="2:5" x14ac:dyDescent="0.25">
      <c r="B130" s="20"/>
      <c r="C130" s="18"/>
      <c r="D130" s="20"/>
      <c r="E130" s="21"/>
    </row>
    <row r="131" spans="2:5" x14ac:dyDescent="0.25">
      <c r="B131" s="20"/>
      <c r="C131" s="18"/>
      <c r="D131" s="20"/>
      <c r="E131" s="21"/>
    </row>
    <row r="132" spans="2:5" x14ac:dyDescent="0.25">
      <c r="B132" s="20"/>
      <c r="C132" s="18"/>
      <c r="D132" s="20"/>
      <c r="E132" s="21"/>
    </row>
    <row r="133" spans="2:5" x14ac:dyDescent="0.25">
      <c r="B133" s="20"/>
      <c r="C133" s="18"/>
      <c r="D133" s="20"/>
      <c r="E133" s="21"/>
    </row>
    <row r="134" spans="2:5" x14ac:dyDescent="0.25">
      <c r="B134" s="20"/>
      <c r="C134" s="18"/>
      <c r="D134" s="20"/>
      <c r="E134" s="21"/>
    </row>
    <row r="135" spans="2:5" x14ac:dyDescent="0.25">
      <c r="B135" s="20"/>
      <c r="C135" s="18"/>
      <c r="D135" s="20"/>
      <c r="E135" s="21"/>
    </row>
    <row r="136" spans="2:5" x14ac:dyDescent="0.25">
      <c r="B136" s="20"/>
      <c r="C136" s="18"/>
      <c r="D136" s="20"/>
      <c r="E136" s="21"/>
    </row>
    <row r="137" spans="2:5" x14ac:dyDescent="0.25">
      <c r="B137" s="20"/>
      <c r="C137" s="18"/>
      <c r="D137" s="20"/>
      <c r="E137" s="21"/>
    </row>
    <row r="138" spans="2:5" x14ac:dyDescent="0.25">
      <c r="B138" s="20"/>
      <c r="C138" s="18"/>
      <c r="D138" s="20"/>
      <c r="E138" s="21"/>
    </row>
    <row r="139" spans="2:5" x14ac:dyDescent="0.25">
      <c r="B139" s="20"/>
      <c r="C139" s="18"/>
      <c r="D139" s="20"/>
      <c r="E139" s="21"/>
    </row>
    <row r="140" spans="2:5" x14ac:dyDescent="0.25">
      <c r="B140" s="20"/>
      <c r="C140" s="18"/>
      <c r="D140" s="20"/>
      <c r="E140" s="21"/>
    </row>
    <row r="141" spans="2:5" x14ac:dyDescent="0.25">
      <c r="B141" s="20"/>
      <c r="C141" s="18"/>
      <c r="D141" s="20"/>
      <c r="E141" s="21"/>
    </row>
    <row r="142" spans="2:5" x14ac:dyDescent="0.25">
      <c r="B142" s="20"/>
      <c r="C142" s="18"/>
      <c r="D142" s="20"/>
      <c r="E142" s="21"/>
    </row>
    <row r="143" spans="2:5" x14ac:dyDescent="0.25">
      <c r="B143" s="20"/>
      <c r="C143" s="18"/>
      <c r="D143" s="20"/>
      <c r="E143" s="21"/>
    </row>
    <row r="144" spans="2:5" x14ac:dyDescent="0.25">
      <c r="B144" s="20"/>
      <c r="C144" s="18"/>
      <c r="D144" s="20"/>
      <c r="E144" s="21"/>
    </row>
    <row r="145" spans="2:5" x14ac:dyDescent="0.25">
      <c r="B145" s="20"/>
      <c r="C145" s="18"/>
      <c r="D145" s="20"/>
      <c r="E145" s="21"/>
    </row>
    <row r="146" spans="2:5" x14ac:dyDescent="0.25">
      <c r="B146" s="20"/>
      <c r="C146" s="18"/>
      <c r="D146" s="20"/>
      <c r="E146" s="21"/>
    </row>
    <row r="147" spans="2:5" x14ac:dyDescent="0.25">
      <c r="B147" s="20"/>
      <c r="C147" s="18"/>
      <c r="D147" s="20"/>
      <c r="E147" s="21"/>
    </row>
    <row r="148" spans="2:5" x14ac:dyDescent="0.25">
      <c r="B148" s="20"/>
      <c r="C148" s="18"/>
      <c r="D148" s="20"/>
      <c r="E148" s="21"/>
    </row>
    <row r="149" spans="2:5" x14ac:dyDescent="0.25">
      <c r="B149" s="20"/>
      <c r="C149" s="18"/>
      <c r="D149" s="20"/>
      <c r="E149" s="21"/>
    </row>
    <row r="150" spans="2:5" x14ac:dyDescent="0.25">
      <c r="B150" s="20"/>
      <c r="C150" s="18"/>
      <c r="D150" s="20"/>
      <c r="E150" s="21"/>
    </row>
    <row r="151" spans="2:5" x14ac:dyDescent="0.25">
      <c r="B151" s="20"/>
      <c r="C151" s="18"/>
      <c r="D151" s="20"/>
      <c r="E151" s="21"/>
    </row>
  </sheetData>
  <sheetProtection algorithmName="SHA-512" hashValue="NHdYEk0xgbe97rIZEtKzyyfpTGhvBaFfazt3q+8QXIHDKjYXi5GCPFEurN8mrqgnaIiUte80gWt66U4mNvbJiA==" saltValue="Ovu/ruX1AIQpnQUZWHPSbA==" spinCount="100000" sheet="1"/>
  <mergeCells count="14">
    <mergeCell ref="B8:E8"/>
    <mergeCell ref="B37:E37"/>
    <mergeCell ref="D14:D15"/>
    <mergeCell ref="B14:C15"/>
    <mergeCell ref="B24:D24"/>
    <mergeCell ref="B30:C31"/>
    <mergeCell ref="D30:D31"/>
    <mergeCell ref="B33:E33"/>
    <mergeCell ref="B47:F47"/>
    <mergeCell ref="B19:E20"/>
    <mergeCell ref="B17:E17"/>
    <mergeCell ref="D42:D43"/>
    <mergeCell ref="B42:C43"/>
    <mergeCell ref="B45:E45"/>
  </mergeCells>
  <phoneticPr fontId="0" type="noConversion"/>
  <pageMargins left="0.78740157480314965" right="0.78740157480314965" top="0.59055118110236227" bottom="0.59055118110236227" header="0.51181102362204722" footer="0.51181102362204722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Drop Down 6">
              <controlPr defaultSize="0" autoLine="0" autoPict="0">
                <anchor mov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4</xdr:col>
                    <xdr:colOff>1333500</xdr:colOff>
                    <xdr:row>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Drop Down 9">
              <controlPr defaultSize="0" autoLine="0" autoPict="0">
                <anchor moveWithCells="1">
                  <from>
                    <xdr:col>4</xdr:col>
                    <xdr:colOff>0</xdr:colOff>
                    <xdr:row>23</xdr:row>
                    <xdr:rowOff>7620</xdr:rowOff>
                  </from>
                  <to>
                    <xdr:col>4</xdr:col>
                    <xdr:colOff>1485900</xdr:colOff>
                    <xdr:row>24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selection activeCell="F26" sqref="F26"/>
    </sheetView>
  </sheetViews>
  <sheetFormatPr defaultRowHeight="13.2" x14ac:dyDescent="0.25"/>
  <cols>
    <col min="1" max="1" width="7.6640625" bestFit="1" customWidth="1"/>
    <col min="2" max="2" width="19.33203125" customWidth="1"/>
    <col min="3" max="3" width="45.33203125" style="31" customWidth="1"/>
    <col min="4" max="4" width="10.6640625" style="1" customWidth="1"/>
    <col min="5" max="5" width="14.5546875" style="3" customWidth="1"/>
    <col min="6" max="6" width="10" style="28" customWidth="1"/>
    <col min="7" max="7" width="18.109375" bestFit="1" customWidth="1"/>
    <col min="8" max="8" width="10.109375" bestFit="1" customWidth="1"/>
    <col min="9" max="9" width="20.44140625" bestFit="1" customWidth="1"/>
  </cols>
  <sheetData>
    <row r="1" spans="1:9" s="2" customFormat="1" x14ac:dyDescent="0.25">
      <c r="A1" s="35" t="s">
        <v>6</v>
      </c>
      <c r="B1" s="35" t="s">
        <v>0</v>
      </c>
      <c r="C1" s="43" t="s">
        <v>26</v>
      </c>
      <c r="D1" s="44" t="s">
        <v>1</v>
      </c>
      <c r="E1" s="35" t="s">
        <v>4</v>
      </c>
      <c r="F1" s="34" t="s">
        <v>20</v>
      </c>
      <c r="G1" s="35" t="s">
        <v>5</v>
      </c>
      <c r="H1" s="35" t="s">
        <v>8</v>
      </c>
      <c r="I1" s="35" t="s">
        <v>25</v>
      </c>
    </row>
    <row r="2" spans="1:9" x14ac:dyDescent="0.25">
      <c r="A2" s="27">
        <v>1</v>
      </c>
      <c r="B2" s="3" t="s">
        <v>52</v>
      </c>
      <c r="C2" s="3" t="s">
        <v>27</v>
      </c>
      <c r="D2" s="45">
        <v>24.13</v>
      </c>
      <c r="E2" s="46" t="s">
        <v>13</v>
      </c>
      <c r="F2" s="36">
        <v>9.3899999999999997E-2</v>
      </c>
      <c r="G2" s="49" t="s">
        <v>14</v>
      </c>
      <c r="H2" s="48">
        <v>44183</v>
      </c>
      <c r="I2" s="32" t="s">
        <v>49</v>
      </c>
    </row>
    <row r="3" spans="1:9" x14ac:dyDescent="0.25">
      <c r="A3" s="27">
        <v>2</v>
      </c>
      <c r="B3" s="3" t="s">
        <v>52</v>
      </c>
      <c r="C3" s="3" t="s">
        <v>28</v>
      </c>
      <c r="D3" s="45">
        <v>15.59</v>
      </c>
      <c r="E3" s="46" t="s">
        <v>13</v>
      </c>
      <c r="F3" s="37">
        <v>0.1288</v>
      </c>
      <c r="G3" s="49" t="s">
        <v>14</v>
      </c>
      <c r="H3" s="48">
        <v>44183</v>
      </c>
      <c r="I3" s="32" t="s">
        <v>49</v>
      </c>
    </row>
    <row r="4" spans="1:9" x14ac:dyDescent="0.25">
      <c r="A4" s="27">
        <v>3</v>
      </c>
      <c r="B4" s="3" t="s">
        <v>52</v>
      </c>
      <c r="C4" s="3" t="s">
        <v>29</v>
      </c>
      <c r="D4" s="45">
        <v>24.13</v>
      </c>
      <c r="E4" s="46" t="s">
        <v>13</v>
      </c>
      <c r="F4" s="37">
        <v>2.8799999999999999E-2</v>
      </c>
      <c r="G4" s="49" t="s">
        <v>14</v>
      </c>
      <c r="H4" s="48">
        <v>44183</v>
      </c>
      <c r="I4" s="32" t="s">
        <v>49</v>
      </c>
    </row>
    <row r="5" spans="1:9" x14ac:dyDescent="0.25">
      <c r="A5" s="27">
        <v>4</v>
      </c>
      <c r="B5" s="3" t="s">
        <v>52</v>
      </c>
      <c r="C5" s="3" t="s">
        <v>30</v>
      </c>
      <c r="D5" s="45">
        <v>24.13</v>
      </c>
      <c r="E5" s="46" t="s">
        <v>13</v>
      </c>
      <c r="F5" s="36">
        <v>4.2700000000000002E-2</v>
      </c>
      <c r="G5" s="49" t="s">
        <v>14</v>
      </c>
      <c r="H5" s="48">
        <v>44183</v>
      </c>
      <c r="I5" s="32" t="s">
        <v>49</v>
      </c>
    </row>
    <row r="6" spans="1:9" x14ac:dyDescent="0.25">
      <c r="A6" s="27">
        <v>5</v>
      </c>
      <c r="B6" s="3" t="s">
        <v>52</v>
      </c>
      <c r="C6" s="3" t="s">
        <v>31</v>
      </c>
      <c r="D6" s="45">
        <v>15.59</v>
      </c>
      <c r="E6" s="46" t="s">
        <v>13</v>
      </c>
      <c r="F6" s="36">
        <v>9.9099999999999994E-2</v>
      </c>
      <c r="G6" s="49" t="s">
        <v>14</v>
      </c>
      <c r="H6" s="48">
        <v>44183</v>
      </c>
      <c r="I6" s="32" t="s">
        <v>49</v>
      </c>
    </row>
    <row r="7" spans="1:9" x14ac:dyDescent="0.25">
      <c r="A7" s="27">
        <v>6</v>
      </c>
      <c r="B7" s="3" t="s">
        <v>52</v>
      </c>
      <c r="C7" s="3" t="s">
        <v>32</v>
      </c>
      <c r="D7" s="45">
        <v>24.13</v>
      </c>
      <c r="E7" s="46" t="s">
        <v>13</v>
      </c>
      <c r="F7" s="36">
        <v>9.06E-2</v>
      </c>
      <c r="G7" s="49" t="s">
        <v>14</v>
      </c>
      <c r="H7" s="48">
        <v>44183</v>
      </c>
      <c r="I7" s="32" t="s">
        <v>49</v>
      </c>
    </row>
    <row r="8" spans="1:9" x14ac:dyDescent="0.25">
      <c r="A8" s="27">
        <v>7</v>
      </c>
      <c r="B8" s="3" t="s">
        <v>52</v>
      </c>
      <c r="C8" s="3" t="s">
        <v>33</v>
      </c>
      <c r="D8" s="45">
        <v>429.97</v>
      </c>
      <c r="E8" s="46" t="s">
        <v>47</v>
      </c>
      <c r="F8" s="36">
        <v>1.8182</v>
      </c>
      <c r="G8" s="46" t="s">
        <v>50</v>
      </c>
      <c r="H8" s="48">
        <v>44183</v>
      </c>
      <c r="I8" s="32" t="s">
        <v>49</v>
      </c>
    </row>
    <row r="9" spans="1:9" x14ac:dyDescent="0.25">
      <c r="A9" s="27">
        <v>8</v>
      </c>
      <c r="B9" s="3" t="s">
        <v>52</v>
      </c>
      <c r="C9" s="3" t="s">
        <v>34</v>
      </c>
      <c r="D9" s="45">
        <v>825.91</v>
      </c>
      <c r="E9" s="46" t="s">
        <v>47</v>
      </c>
      <c r="F9" s="36">
        <v>2.9531999999999998</v>
      </c>
      <c r="G9" s="46" t="s">
        <v>50</v>
      </c>
      <c r="H9" s="48">
        <v>44183</v>
      </c>
      <c r="I9" s="32" t="s">
        <v>49</v>
      </c>
    </row>
    <row r="10" spans="1:9" x14ac:dyDescent="0.25">
      <c r="A10" s="27">
        <v>9</v>
      </c>
      <c r="B10" s="3" t="s">
        <v>52</v>
      </c>
      <c r="C10" s="3" t="s">
        <v>35</v>
      </c>
      <c r="D10" s="45">
        <v>309.51</v>
      </c>
      <c r="E10" s="46" t="s">
        <v>47</v>
      </c>
      <c r="F10" s="36">
        <v>1.7676000000000001</v>
      </c>
      <c r="G10" s="46" t="s">
        <v>50</v>
      </c>
      <c r="H10" s="48">
        <v>44183</v>
      </c>
      <c r="I10" s="32" t="s">
        <v>49</v>
      </c>
    </row>
    <row r="11" spans="1:9" x14ac:dyDescent="0.25">
      <c r="A11" s="27">
        <v>10</v>
      </c>
      <c r="B11" s="3" t="s">
        <v>52</v>
      </c>
      <c r="C11" s="3" t="s">
        <v>36</v>
      </c>
      <c r="D11" s="45">
        <v>403.35</v>
      </c>
      <c r="E11" s="46" t="s">
        <v>47</v>
      </c>
      <c r="F11" s="36">
        <v>2.2544</v>
      </c>
      <c r="G11" s="46" t="s">
        <v>50</v>
      </c>
      <c r="H11" s="48">
        <v>44183</v>
      </c>
      <c r="I11" s="32" t="s">
        <v>49</v>
      </c>
    </row>
    <row r="12" spans="1:9" x14ac:dyDescent="0.25">
      <c r="A12" s="27">
        <v>11</v>
      </c>
      <c r="B12" s="3" t="s">
        <v>52</v>
      </c>
      <c r="C12" s="3" t="s">
        <v>37</v>
      </c>
      <c r="D12" s="45">
        <v>24.13</v>
      </c>
      <c r="E12" s="46" t="s">
        <v>13</v>
      </c>
      <c r="F12" s="36">
        <v>8.8900000000000007E-2</v>
      </c>
      <c r="G12" s="49" t="s">
        <v>14</v>
      </c>
      <c r="H12" s="48">
        <v>44183</v>
      </c>
      <c r="I12" s="32" t="s">
        <v>49</v>
      </c>
    </row>
    <row r="13" spans="1:9" x14ac:dyDescent="0.25">
      <c r="A13" s="27">
        <v>12</v>
      </c>
      <c r="B13" s="3" t="s">
        <v>52</v>
      </c>
      <c r="C13" s="3" t="s">
        <v>38</v>
      </c>
      <c r="D13" s="45">
        <v>24.13</v>
      </c>
      <c r="E13" s="46" t="s">
        <v>13</v>
      </c>
      <c r="F13" s="36">
        <v>0.1384</v>
      </c>
      <c r="G13" s="49" t="s">
        <v>14</v>
      </c>
      <c r="H13" s="48">
        <v>44183</v>
      </c>
      <c r="I13" s="32" t="s">
        <v>49</v>
      </c>
    </row>
    <row r="14" spans="1:9" x14ac:dyDescent="0.25">
      <c r="A14" s="27">
        <v>13</v>
      </c>
      <c r="B14" s="3" t="s">
        <v>52</v>
      </c>
      <c r="C14" s="3" t="s">
        <v>39</v>
      </c>
      <c r="D14" s="45">
        <v>24.13</v>
      </c>
      <c r="E14" s="46" t="s">
        <v>13</v>
      </c>
      <c r="F14" s="36">
        <v>6.83E-2</v>
      </c>
      <c r="G14" s="49" t="s">
        <v>14</v>
      </c>
      <c r="H14" s="48">
        <v>44183</v>
      </c>
      <c r="I14" s="32" t="s">
        <v>49</v>
      </c>
    </row>
    <row r="15" spans="1:9" x14ac:dyDescent="0.25">
      <c r="A15" s="27">
        <v>14</v>
      </c>
      <c r="B15" s="3" t="s">
        <v>52</v>
      </c>
      <c r="C15" s="3" t="s">
        <v>40</v>
      </c>
      <c r="D15" s="45">
        <v>24.13</v>
      </c>
      <c r="E15" s="46" t="s">
        <v>13</v>
      </c>
      <c r="F15" s="36">
        <v>5.8599999999999999E-2</v>
      </c>
      <c r="G15" s="49" t="s">
        <v>14</v>
      </c>
      <c r="H15" s="48">
        <v>44183</v>
      </c>
      <c r="I15" s="32" t="s">
        <v>49</v>
      </c>
    </row>
    <row r="16" spans="1:9" x14ac:dyDescent="0.25">
      <c r="A16" s="27">
        <v>15</v>
      </c>
      <c r="B16" s="3" t="s">
        <v>52</v>
      </c>
      <c r="C16" s="3" t="s">
        <v>41</v>
      </c>
      <c r="D16" s="45">
        <v>15.59</v>
      </c>
      <c r="E16" s="46" t="s">
        <v>13</v>
      </c>
      <c r="F16" s="36">
        <v>7.6399999999999996E-2</v>
      </c>
      <c r="G16" s="49" t="s">
        <v>14</v>
      </c>
      <c r="H16" s="48">
        <v>44183</v>
      </c>
      <c r="I16" s="32" t="s">
        <v>49</v>
      </c>
    </row>
    <row r="17" spans="1:9" x14ac:dyDescent="0.25">
      <c r="A17" s="27">
        <v>16</v>
      </c>
      <c r="B17" s="3" t="s">
        <v>52</v>
      </c>
      <c r="C17" s="3" t="s">
        <v>42</v>
      </c>
      <c r="D17" s="45">
        <v>723.88</v>
      </c>
      <c r="E17" s="46" t="s">
        <v>48</v>
      </c>
      <c r="F17" s="36">
        <v>0.17710000000000001</v>
      </c>
      <c r="G17" s="49" t="s">
        <v>51</v>
      </c>
      <c r="H17" s="48">
        <v>44183</v>
      </c>
      <c r="I17" s="32" t="s">
        <v>49</v>
      </c>
    </row>
    <row r="18" spans="1:9" x14ac:dyDescent="0.25">
      <c r="A18" s="27">
        <v>17</v>
      </c>
      <c r="B18" s="3" t="s">
        <v>52</v>
      </c>
      <c r="C18" s="3" t="s">
        <v>43</v>
      </c>
      <c r="D18" s="45">
        <v>13.4</v>
      </c>
      <c r="E18" s="46" t="s">
        <v>13</v>
      </c>
      <c r="F18" s="36">
        <v>6.9500000000000006E-2</v>
      </c>
      <c r="G18" s="49" t="s">
        <v>14</v>
      </c>
      <c r="H18" s="48">
        <v>44183</v>
      </c>
      <c r="I18" s="32" t="s">
        <v>49</v>
      </c>
    </row>
    <row r="19" spans="1:9" x14ac:dyDescent="0.25">
      <c r="A19" s="27">
        <v>18</v>
      </c>
      <c r="B19" s="3" t="s">
        <v>52</v>
      </c>
      <c r="C19" s="3" t="s">
        <v>44</v>
      </c>
      <c r="D19" s="45">
        <v>24.13</v>
      </c>
      <c r="E19" s="46" t="s">
        <v>13</v>
      </c>
      <c r="F19" s="36">
        <v>5.4399999999999997E-2</v>
      </c>
      <c r="G19" s="49" t="s">
        <v>14</v>
      </c>
      <c r="H19" s="48">
        <v>44183</v>
      </c>
      <c r="I19" s="32" t="s">
        <v>49</v>
      </c>
    </row>
    <row r="20" spans="1:9" x14ac:dyDescent="0.25">
      <c r="A20" s="27">
        <v>19</v>
      </c>
      <c r="B20" s="3" t="s">
        <v>52</v>
      </c>
      <c r="C20" s="3" t="s">
        <v>45</v>
      </c>
      <c r="D20" s="45">
        <v>24.13</v>
      </c>
      <c r="E20" s="46" t="s">
        <v>13</v>
      </c>
      <c r="F20" s="36">
        <v>5.8999999999999997E-2</v>
      </c>
      <c r="G20" s="49" t="s">
        <v>14</v>
      </c>
      <c r="H20" s="48">
        <v>44183</v>
      </c>
      <c r="I20" s="32" t="s">
        <v>49</v>
      </c>
    </row>
    <row r="21" spans="1:9" x14ac:dyDescent="0.25">
      <c r="A21" s="27">
        <v>20</v>
      </c>
      <c r="B21" s="3" t="s">
        <v>52</v>
      </c>
      <c r="C21" s="3" t="s">
        <v>46</v>
      </c>
      <c r="D21" s="45">
        <v>24.13</v>
      </c>
      <c r="E21" s="46" t="s">
        <v>13</v>
      </c>
      <c r="F21" s="36">
        <v>6.2700000000000006E-2</v>
      </c>
      <c r="G21" s="49" t="s">
        <v>14</v>
      </c>
      <c r="H21" s="48">
        <v>44183</v>
      </c>
      <c r="I21" s="32" t="s">
        <v>49</v>
      </c>
    </row>
    <row r="22" spans="1:9" x14ac:dyDescent="0.25">
      <c r="B22" s="3" t="s">
        <v>52</v>
      </c>
      <c r="C22" s="31" t="s">
        <v>15</v>
      </c>
      <c r="D22" s="30"/>
      <c r="F22" s="36">
        <v>3.56E-2</v>
      </c>
      <c r="G22" s="32" t="s">
        <v>14</v>
      </c>
      <c r="H22" s="48">
        <v>44184</v>
      </c>
      <c r="I22" s="32" t="s">
        <v>49</v>
      </c>
    </row>
    <row r="23" spans="1:9" x14ac:dyDescent="0.25">
      <c r="A23" s="27">
        <v>1</v>
      </c>
      <c r="B23" s="3" t="s">
        <v>52</v>
      </c>
      <c r="C23" s="3" t="s">
        <v>57</v>
      </c>
      <c r="D23" s="59">
        <v>21.84</v>
      </c>
      <c r="E23" s="60" t="s">
        <v>58</v>
      </c>
      <c r="F23" s="37">
        <v>0.31309999999999999</v>
      </c>
      <c r="G23" s="61" t="s">
        <v>59</v>
      </c>
      <c r="H23" s="19">
        <v>44183</v>
      </c>
      <c r="I23" s="47" t="s">
        <v>49</v>
      </c>
    </row>
    <row r="24" spans="1:9" x14ac:dyDescent="0.25">
      <c r="A24" s="27">
        <v>2</v>
      </c>
      <c r="B24" s="3" t="s">
        <v>52</v>
      </c>
      <c r="C24" s="3" t="s">
        <v>60</v>
      </c>
      <c r="D24" s="45">
        <v>8.14</v>
      </c>
      <c r="E24" s="60" t="s">
        <v>58</v>
      </c>
      <c r="F24" s="36">
        <v>0.16869999999999999</v>
      </c>
      <c r="G24" s="61" t="s">
        <v>59</v>
      </c>
      <c r="H24" s="19">
        <v>44183</v>
      </c>
      <c r="I24" s="47" t="s">
        <v>49</v>
      </c>
    </row>
    <row r="25" spans="1:9" x14ac:dyDescent="0.25">
      <c r="F25" s="29"/>
    </row>
    <row r="26" spans="1:9" x14ac:dyDescent="0.25">
      <c r="F26" s="29"/>
    </row>
    <row r="27" spans="1:9" x14ac:dyDescent="0.25">
      <c r="H27" s="19"/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Tarifas EFVM</vt:lpstr>
      <vt:lpstr>PRODUTOS</vt:lpstr>
      <vt:lpstr>NOME</vt:lpstr>
    </vt:vector>
  </TitlesOfParts>
  <Company>ANTT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carlo</cp:lastModifiedBy>
  <cp:lastPrinted>2008-11-11T17:49:18Z</cp:lastPrinted>
  <dcterms:created xsi:type="dcterms:W3CDTF">2004-08-04T19:11:37Z</dcterms:created>
  <dcterms:modified xsi:type="dcterms:W3CDTF">2020-12-23T17:20:45Z</dcterms:modified>
</cp:coreProperties>
</file>