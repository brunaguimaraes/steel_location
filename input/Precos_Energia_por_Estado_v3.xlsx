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LEIA-ME" sheetId="1" state="visible" r:id="rId3"/>
    <sheet name="Premissas" sheetId="2" state="visible" r:id="rId4"/>
    <sheet name="EE_ANEEL" sheetId="3" state="visible" r:id="rId5"/>
    <sheet name="EE_por_UF" sheetId="4" state="visible" r:id="rId6"/>
    <sheet name="GN_Boletim" sheetId="5" state="visible" r:id="rId7"/>
    <sheet name="GN_por_UF" sheetId="6" state="visible" r:id="rId8"/>
    <sheet name="CM_Comex" sheetId="7" state="visible" r:id="rId9"/>
    <sheet name="CM_Frete" sheetId="8" state="visible" r:id="rId10"/>
    <sheet name="CM_por_UF" sheetId="9" state="visible" r:id="rId11"/>
    <sheet name="Diesel_por_UF" sheetId="10" state="visible" r:id="rId12"/>
    <sheet name="H2_por_UF" sheetId="11" state="visible" r:id="rId13"/>
    <sheet name="Minerio_ANM" sheetId="12" state="visible" r:id="rId14"/>
    <sheet name="Pelota_Comex" sheetId="13" state="visible" r:id="rId15"/>
    <sheet name="Ore_Frete" sheetId="14" state="visible" r:id="rId16"/>
    <sheet name="Ore_por_UF" sheetId="15" state="visible" r:id="rId17"/>
    <sheet name="Ore_Cost_State" sheetId="16" state="visible" r:id="rId18"/>
    <sheet name="Fuel_Prices_State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<sst xmlns="http://schemas.openxmlformats.org/spreadsheetml/2006/main" count="1807" uniqueCount="498">
  <si>
    <t xml:space="preserve">Preços de energia por estado — tratamento de dados</t>
  </si>
  <si>
    <t xml:space="preserve">Insumo para a aba Fuel_Prices_State do Model_Config_12 (modelo v20_12)</t>
  </si>
  <si>
    <t xml:space="preserve">COMO USAR</t>
  </si>
  <si>
    <t xml:space="preserve">1. Vá em "Premissas" e confira/ajuste as células amarelas (ano-base, câmbio, poder calorífico, tributos, faixa de consumo).</t>
  </si>
  <si>
    <t xml:space="preserve">2. Em "EE_ANEEL", confira a coluna UF e a coluna Peso. Peso 1 = a distribuidora entra na média do estado; 0 = não entra.</t>
  </si>
  <si>
    <t xml:space="preserve">3. A aba "Fuel_Prices_State" recalcula sozinha. Copie as colunas A:D e cole na aba de mesmo nome do Model_Config_12.</t>
  </si>
  <si>
    <t xml:space="preserve">CONVENÇÃO DE COR</t>
  </si>
  <si>
    <t xml:space="preserve">Amarelo = célula de entrada, você edita.   Azul = número fixo digitado (premissa).   Preto = fórmula.   Verde = link de outra aba.</t>
  </si>
  <si>
    <t xml:space="preserve">DECISÕES METODOLÓGICAS EMBUTIDAS (todas revisáveis em "Premissas")</t>
  </si>
  <si>
    <t xml:space="preserve">• Ano-base: 2024. É o ano completo mais recente, tem média anual publicada nos dois lados (ANEEL e Boletim do Gás), e antecede o choque de preços de 2025-26. Alternativas: 2022, 2023 ou a média 2022-2024.</t>
  </si>
  <si>
    <t xml:space="preserve">• Eletricidade — filtro ANEEL: Subgrupo A4, modalidade Verde, Tarifa de Aplicação, Detalhe "Não se aplica", posto Fora ponta, unidade MWh. Preço = TUSD + TE. ATENÇÃO: não existe classe "Industrial" no dado da ANEEL — no Grupo A a tarifa não diferencia por classe, e indústria cai em "Não se aplica". O recorte industrial se faz pelo SUBGRUPO (tensão), não pela classe.</t>
  </si>
  <si>
    <t xml:space="preserve">• Por que A4 e não A3/A2: a modalidade Verde só existe até o subgrupo A4 (acima disso, só Azul). A4 é, portanto, o maior nível de tensão em que a comparação Verde é possível. Plantas muito grandes conectam em A3/A2 e pagam menos — ver pendências.</t>
  </si>
  <si>
    <t xml:space="preserve">• Por que Fora ponta: a TUSD de ponta na modalidade Verde é punitiva (1.000 a 1.900 R$/MWh contra 100-150 fora ponta), justamente para afastar carga do horário de pico. Siderúrgica é carga de base e opera ~91% das horas fora de ponta.</t>
  </si>
  <si>
    <t xml:space="preserve">• Gás — o gráfico "Industrial 20.000 m³/dia" do Boletim é de DEZEMBRO, não a média do ano. Verificado: a média simples dos 19 valores reproduz exatamente o valor nacional publicado do mês (dez/24: 16,77 calculado vs 16,76 publicado; o mesmo vale para dez/22, dez/23 e set/25).</t>
  </si>
  <si>
    <t xml:space="preserve">• Método da razão (gás): usa-se o gráfico de dezembro para a ESTRUTURA (quanto cada estado desvia da média nacional) e a tabela de média anual para o NÍVEL. Preço_UF(ano) = [Preço_UF(dez) ÷ Nacional(dez)] × Nacional(média do ano). Justificativa: a dispersão entre distribuidoras vem da margem de distribuição e do ICMS, estáveis dentro do ano; o nível se move com a molécula, comum a todos. Como a razão é adimensional, o câmbio se cancela na estrutura e entra uma única vez no nível.</t>
  </si>
  <si>
    <t xml:space="preserve">• Tributos: convenção única SEM tributos, aplicada aos dois insumos. A tarifa ANEEL já é sem tributos; o preço do gás do Boletim é COM tributos e é convertido usando a participação de impostos por região publicada no próprio Boletim (pág. 16). Isso elimina o viés artificial entre eletricidade e gás.</t>
  </si>
  <si>
    <t xml:space="preserve">• Base energética: PCI (LHV), coerente com os fatores de emissão do modelo, que são defaults do IPCC (base NCV). ATENÇÃO: o Boletim do Gás converte R$/m³ para US$/MMBtu usando PCS de 9.400 kcal/m³ (verificado por reconstrução do cálculo). Usar o US$/MMBtu do Boletim direto embutiria base PCS num modelo PCI e subestimaria o gás em ~10%. Aqui a conversão parte do R$/m³ e usa PCI.</t>
  </si>
  <si>
    <t xml:space="preserve">O QUE VOCÊ PRECISA CONFERIR</t>
  </si>
  <si>
    <t xml:space="preserve">a) Câmbio R$/US$ (Premissas, B7:B9) — coloquei estimativas de média anual. Confirme no SGS/Bacen e cite a série.</t>
  </si>
  <si>
    <t xml:space="preserve">b) Coluna UF em "EE_ANEEL" — mapeei as principais concessionárias. As linhas marcadas VERIFICAR não foram identificadas com segurança.</t>
  </si>
  <si>
    <t xml:space="preserve">c) Coluna Peso em "EE_ANEEL" — por padrão só as concessionárias principais de cada estado têm peso 1. Cooperativas e permissionárias pequenas têm peso 0: uma siderúrgica não se conecta a uma cooperativa rural. Ajuste se discordar.</t>
  </si>
  <si>
    <t xml:space="preserve">d) Os valores do gás em "GN_Boletim" foram lidos dos gráficos dos PDFs. Cada ano passou no teste de soma contra o valor nacional publicado, mas confira ao menos os estados com plantas (CE, ES, MG, RJ, SP) contra o PDF.</t>
  </si>
  <si>
    <t xml:space="preserve">AVISO IMPORTANTE SOBRE O IMPACTO NO MODELO</t>
  </si>
  <si>
    <t xml:space="preserve">Gás natural: o placeholder do modelo é 13,3 US$/GJ. A média nacional que sai deste tratamento para 2024 (sem tributos, faixa 50.000, base PCI) fica em torno de 13,5 US$/GJ. Praticamente igual — o placeholder já parecia estar nessa convenção. O que muda não é o nível, é a dispersão: de 10,6 (AM, sistema isolado) a 15,9 US$/GJ (RJ).</t>
  </si>
  <si>
    <t xml:space="preserve">Eletricidade: o placeholder é 35,8 US$/GJ. A média nacional deste tratamento é ~19,9 US$/GJ — cerca de 45% menor. A diferença é compatível com tributos, parcela de demanda e encargos, que a tarifa TUSD+TE não inclui.</t>
  </si>
  <si>
    <t xml:space="preserve">A leitura disso é a confirmação, com dado na mão, da pendência 6 do documento de método: o par de placeholders atual JÁ MISTURA convenções — eletricidade aparentemente COM tributos, gás SEM. Adotar a convenção única SEM barateia a eletricidade em ~45% e mantém o gás, o que favorece as rotas eletrointensivas (EAF, DR-H2) frente à DR-NG. É uma mudança material de resultado, não um detalhe de planilha. Rode o modelo com o placeholder e com o dado novo e compare antes de concluir qualquer coisa sobre localização.</t>
  </si>
  <si>
    <t xml:space="preserve">LIMITAÇÕES CONHECIDAS (registrar no artigo)</t>
  </si>
  <si>
    <t xml:space="preserve">• Mercado cativo: a tarifa ANEEL é regulada; siderúrgicas integradas compram no mercado livre. O nível fica superestimado, mas a estrutura relativa entre estados se mantém (a TUSD é paga também no livre).</t>
  </si>
  <si>
    <t xml:space="preserve">• Demanda: a parcela de demanda da TUSD (R$/kW) não entra no preço em R$/MWh. Para carga de base com alto fator de carga ela adiciona algo entre 5% e 10%. A tarifa de demanda está na coluna kW de "EE_ANEEL" para quem quiser incorporar.</t>
  </si>
  <si>
    <t xml:space="preserve">• Faixa de consumo do gás: a maior faixa publicada é 50.000 m³/dia. Uma planta DR-NG de 1 Mt/ano consome ~700-800 mil m³/dia. Mesmo a maior faixa superestima o preço de uma siderúrgica.</t>
  </si>
  <si>
    <t xml:space="preserve">• Estados sem rede de gás: 10 das 27 UFs não têm distribuidora com movimentação. Elas ficam sem preço próprio e herdam o nacional — ver a coluna Source_note. Esses são candidatos naturais a serem excluídos de DR-NG por critério de infraestrutura.</t>
  </si>
  <si>
    <t xml:space="preserve">• Cigás (AM) e Mtgás (MT) são sistemas isolados, fora da malha integrada de transporte. Preço baixo, mas implausível para DR-NG.</t>
  </si>
  <si>
    <t xml:space="preserve">FONTES</t>
  </si>
  <si>
    <t xml:space="preserve">ANEEL. Tarifas homologadas das distribuidoras de energia elétrica. Portal de Dados Abertos (dadosabertos.aneel.gov.br). Extração do conjunto gerado em 10/07/2026.</t>
  </si>
  <si>
    <t xml:space="preserve">MME/SPG. Boletim Mensal de Acompanhamento da Indústria de Gás Natural. Edições nº 190 (dez/2022), 202 (dez/2023), 214 (dez/2024) e 223 (set/2025).</t>
  </si>
  <si>
    <t xml:space="preserve">ADIÇÕES v2 — CARVÃO METALÚRGICO E ÓLEO DIESEL</t>
  </si>
  <si>
    <t xml:space="preserve">- Carvão metalúrgico: nível = CIF nacional Comex Stat (NCM 2701.12.00) do ano-base; diferenciação estadual = frete ferroviário porto-&gt;usina (tarifas de referência ANTT: MRS Delib. 54/2024; EFVM Delib. 99/2022 x fator de atualização).</t>
  </si>
  <si>
    <t xml:space="preserve">- Frete aplicado só a MG e RJ (ponderado por capacidade). Plantas litorâneas (ES, CE, parte do RJ) pagam CIF puro; demais UFs sem planta a carvão: CIF puro por hipótese.</t>
  </si>
  <si>
    <t xml:space="preserve">- Decisão de tributos do carvão: CIF puro (II=0%; ICMS-importação de insumo em geral diferido). Tarifas ferroviárias sem ICMS conforme publicadas — se revisar a convenção COM, gross-up nas duas pontas.</t>
  </si>
  <si>
    <t xml:space="preserve">- Óleo diesel: método da razão — estrutura ANP SLP (revenda 2024 por UF) sobre o nível nacional do Model_Config (22 USD/GJ), porque revenda embute margem varejista.</t>
  </si>
  <si>
    <t xml:space="preserve">- PENDENTE CONFERIR: PCI do carvão metalúrgico importado no BEN (Premissas!C34) e fator de atualização da tabela EFVM p/ 2024 (CM_Frete!B8).</t>
  </si>
  <si>
    <t xml:space="preserve">- No script (v20_13): incluir "Carvao_mineral" e "Oleo_diesel" em STATE_PRICED_FUELS para o modelo ler os novos preços por estado.</t>
  </si>
  <si>
    <t xml:space="preserve">HIDROGÊNIO — PREÇO POR UF E ELEGIBILIDADE GEOGRÁFICA</t>
  </si>
  <si>
    <t xml:space="preserve">- Preço (condição suficiente): razão amortecida sobre a eletricidade por UF — H2(UF) = 41,6 x [alfa x EE(UF)/EE(nac) + (1-alfa)], alfa ~0,72 (fração eletricidade no LCOH; IEA/IRENA). Aba H2_por_UF.</t>
  </si>
  <si>
    <t xml:space="preserve">- Elegibilidade (condição necessária): DR-H2 permitido apenas em UFs com hub de H2 divulgado — tratada no script (H2_ALLOWED_STATES do v20_13), não no preço.</t>
  </si>
  <si>
    <t xml:space="preserve">- Lista de UFs com hub e fontes: MME/PNH2 chamada pública de hubs — 1ª fase dez/2024 (12 projetos classificados, incl. portos de Suape/PE e Açu/RJ) e priorização ago/2025 p/ CIF-ID (CSN H2Orizonte Verde/RJ — aço; Neoenergia Camaçari/BA; Copel B2H2/PR; Atlas Agro Uberaba/MG; Cemig/MG). Complementos: Pecém/CE (hub H2V com pré-contratos; AM Pecém no complexo), Tubarão/ES (MoU AM Tubarão + EDP), Rio Grande/RS (programa estadual; ICCT), Itaqui/MA, Parnaíba/PI, RN (CNI/SENAI-RN).</t>
  </si>
  <si>
    <t xml:space="preserve">- PENDENTE: fixar alfa com fonte específica (IEA GHR ou IRENA, ano) e congelar a lista de hubs com as referências completas para a metodologia da tese.</t>
  </si>
  <si>
    <t xml:space="preserve">MINÉRIO DE FERRO E PELOTA — MÉTODO DELTA (v2)</t>
  </si>
  <si>
    <t xml:space="preserve">- Princípio: o custo do minério já está embutido na OPEX das rotas (estudos-fonte não desagregam matérias-primas). Só DIFERENÇAS entre UFs entram no modelo — nunca o custo cheio (evita dupla contagem). O nível embutido, desconhecido, é constante por rota e cancela em toda comparação entre estados.</t>
  </si>
  <si>
    <t xml:space="preserve">- Duas famílias/âncoras: minério comum -&gt; âncora MG (BF-BOF MC/CC/CCS + IBT; intensidade ~1,6 t/t); pelota DR-grade -&gt; âncora ES/Tubarão (DR-NG e DR-H2; ~1,45 t/t). EAF: imune. Geografia da aglomeração (verificada 07/2026): 11 pelotizadoras no Brasil — 8 ES, 2 MG, 1 MA (São Luís, insumo de Carajás/PA); Marabá tem mina, não pelotizadora.</t>
  </si>
  <si>
    <t xml:space="preserve">- Cadeia de cálculo: Minerio_ANM (preço de mina por UF — PENDENTE download AMB/ANM) + Ore_Frete (tarifas ANTT já extraídas: MRS Delib. 54/2024; EFVM Delib. 99/2022 x fator) -&gt; Ore_por_UF -&gt; saída Ore_Cost_State (rota x UF).</t>
  </si>
  <si>
    <t xml:space="preserve">- Pelota: Pelota_Comex — PENDENTE download Comex exportação NCM 2601.12.00 por UF de origem (ES vs MA); delta MA = FOB São Luís - FOB Tubarão.</t>
  </si>
  <si>
    <t xml:space="preserve">- PENDENTES: (1) AMB/ANM por UF; (2) Comex pelota; (3) premissa de cabotagem (Premissas!C49, hoje 0); (4) conferir/citar intensidades (Premissas!C47:C48); (5) distâncias Casa de Pedra estimadas por marcos — refinar; (6) novo leitor + termo na função objetivo do v20_13 (aba Ore_Cost_State); (7) figura metodológica das "caixas fechadas" para a tese.</t>
  </si>
  <si>
    <t xml:space="preserve">- Trabalho futuro registrado: briquete verde da Vale (2 usinas em Tubarão, ~6 Mt/ano) como aglomeração alternativa p/ DR — hoje reforça a âncora ES.</t>
  </si>
  <si>
    <t xml:space="preserve">- ATUALIZAÇÃO 19/07/2026: Pelota_Comex preenchida (pendência 2 resolvida). Delta MA-ES 2024 = -16,82 US$/t de pelota (NCM 2601.12.10). DECISÃO EM ABERTO: usar o delta observado (rastreável, com ressalva de mix BF/DR-grade no FOB) ou truncar em 0 (conservador). Discutir com Otto/Emílio.</t>
  </si>
  <si>
    <t xml:space="preserve">- ATUALIZAÇÃO 19/07/2026: Minerio_ANM preenchida (pendência 1 resolvida). Preço implícito 2021: MG 558,9 R$/t; PA 648,0 R$/t; dif. PA-MG convertido pelo câmbio da planilha. Ressalvas de ano-pico e preço realizado registradas na aba. Pendência de dados restante: apenas cabotagem (Premissas!C49).</t>
  </si>
  <si>
    <t xml:space="preserve">- ATUALIZAÇÃO 20/07/2026: PCI do carvão metalúrgico confirmado (0,740 tep/t = 30,98 GJ/t; EPE, BEN 2026, Tab. VIII.10) — pendência 4 resolvida sem alteração de valores.</t>
  </si>
  <si>
    <t xml:space="preserve">- ATUALIZAÇÃO 20/07/2026: cabotagem preenchida (16,12 US$/t = spread CIF-FOB do carvão, Comex 2024) — última pendência de dado resolvida. CE e pelota fora de ES/MA passam a ter diferencial marítimo.</t>
  </si>
  <si>
    <t xml:space="preserve">- DECISÃO A FECHADA: delta pelota MA no caso-base = OBSERVADO (-16,82), com chave de sensibilidade OBSERVADO/ZERO em Premissas!C51 (ver nota lá — cenário planejado, não esquecer).</t>
  </si>
  <si>
    <t xml:space="preserve">- CITAÇÕES FIXADAS: alfa -&gt; IRENA (2020) Green Hydrogen Cost Reduction; intensidade BF -&gt; worldsteel Raw materials (1,6 t/t gusa); intensidade DR -&gt; Midrex/IIMA ~1,4 t óxido/t DRI (documento a confirmar).</t>
  </si>
  <si>
    <t xml:space="preserve">Premissas</t>
  </si>
  <si>
    <t xml:space="preserve">Premissa</t>
  </si>
  <si>
    <t xml:space="preserve">Valor</t>
  </si>
  <si>
    <t xml:space="preserve">Nota / fonte</t>
  </si>
  <si>
    <t xml:space="preserve">ANO-BASE</t>
  </si>
  <si>
    <t xml:space="preserve">Ano de referência</t>
  </si>
  <si>
    <t xml:space="preserve">Digite 2022, 2023, 2024 ou 0 para média 2022-2024. Recomendado: 2024.</t>
  </si>
  <si>
    <t xml:space="preserve">CÂMBIO (média anual R$/US$)</t>
  </si>
  <si>
    <t xml:space="preserve">R$/US$ 2022</t>
  </si>
  <si>
    <t xml:space="preserve">CONFERIR no SGS/Bacen (série 3698, média do ano) e citar.</t>
  </si>
  <si>
    <t xml:space="preserve">R$/US$ 2023</t>
  </si>
  <si>
    <t xml:space="preserve">CONFERIR no SGS/Bacen.</t>
  </si>
  <si>
    <t xml:space="preserve">R$/US$ 2024</t>
  </si>
  <si>
    <t xml:space="preserve">PODER CALORÍFICO DO GÁS</t>
  </si>
  <si>
    <t xml:space="preserve">PCI (kcal/m³)</t>
  </si>
  <si>
    <t xml:space="preserve">Base do modelo (LHV). Coerente com os fatores de emissão IPCC, que são NCV.</t>
  </si>
  <si>
    <t xml:space="preserve">PCS (kcal/m³)</t>
  </si>
  <si>
    <t xml:space="preserve">Base usada pelo Boletim do Gás. Verificado por reconstrução: 3,812 R$/m³ ÷ 6,097 = 16,761 US$/MMBtu exige PCS 9.400.</t>
  </si>
  <si>
    <t xml:space="preserve">kcal -&gt; GJ</t>
  </si>
  <si>
    <t xml:space="preserve">Constante. 1 kcal = 4,1868 J.</t>
  </si>
  <si>
    <t xml:space="preserve">PCI em GJ/m³</t>
  </si>
  <si>
    <t xml:space="preserve">Calculado.</t>
  </si>
  <si>
    <t xml:space="preserve">FAIXA DE CONSUMO DO GÁS</t>
  </si>
  <si>
    <t xml:space="preserve">Faixa para ancorar o nível</t>
  </si>
  <si>
    <t xml:space="preserve">Digite 20000 ou 50000. Recomendado 50000: maior faixa publicada, mais próxima do porte siderúrgico.</t>
  </si>
  <si>
    <t xml:space="preserve">TRIBUTOS</t>
  </si>
  <si>
    <t xml:space="preserve">Convenção</t>
  </si>
  <si>
    <t xml:space="preserve">COM</t>
  </si>
  <si>
    <t xml:space="preserve">Digite SEM ou COM. Deve ser a mesma para eletricidade e gás. Escolhido: COM. A planta desembolsa o tributo; excluir subdimensiona o custo. Nota: ICMS sobre insumo industrial e parcialmente creditavel, logo COM superestima o custo liquido — vies conservador deliberado.</t>
  </si>
  <si>
    <t xml:space="preserve">OUTROS</t>
  </si>
  <si>
    <t xml:space="preserve">MWh -&gt; GJ</t>
  </si>
  <si>
    <t xml:space="preserve">Constante.</t>
  </si>
  <si>
    <t xml:space="preserve">DERIVADOS (não editar)</t>
  </si>
  <si>
    <t xml:space="preserve">Câmbio do ano-base</t>
  </si>
  <si>
    <t xml:space="preserve">Se ano-base = 0, usa a média dos três anos.</t>
  </si>
  <si>
    <t xml:space="preserve">TRIBUTOS E DEMANDA — ELETRICIDADE</t>
  </si>
  <si>
    <t xml:space="preserve">ICMS padrão (%)</t>
  </si>
  <si>
    <t xml:space="preserve">PREENCHER. Alíquota modal do estado sobre energia elétrica. Pode ser sobrescrita por UF na aba EE_por_UF. Fonte: CONFAZ / legislação estadual.</t>
  </si>
  <si>
    <t xml:space="preserve">PIS/Cofins (%)</t>
  </si>
  <si>
    <t xml:space="preserve">PREENCHER. Alíquota efetiva sobre a tarifa; varia mês a mês no regime não-cumulativo. Confirmar.</t>
  </si>
  <si>
    <t xml:space="preserve">Incluir parcela de demanda?</t>
  </si>
  <si>
    <t xml:space="preserve">SIM</t>
  </si>
  <si>
    <t xml:space="preserve">SIM ou NAO. A TUSD de demanda (R$/kW) não está no preço em R$/MWh e é custo real da planta.</t>
  </si>
  <si>
    <t xml:space="preserve">Fator de carga</t>
  </si>
  <si>
    <t xml:space="preserve">Usado para converter R$/kW em R$/MWh. Siderúrgica opera em base; 0,90 é premissa.</t>
  </si>
  <si>
    <t xml:space="preserve">Gross-up: tarifa com tributos = tarifa sem / (1 - ICMS - PIS/Cofins). Cálculo "por dentro", padrão brasileiro.</t>
  </si>
  <si>
    <t xml:space="preserve">CARVÃO METALÚRGICO IMPORTADO</t>
  </si>
  <si>
    <t xml:space="preserve">PCI carvão metalúrgico (kcal/kg)</t>
  </si>
  <si>
    <t xml:space="preserve">CONFIRMADO: EPE, BEN 2026 (ano-base 2025), Tabela VIII.10 — Fatores de Conversão: carvão metalúrgico importado = 0,740 tep/t = 7.400 kcal/kg. Fonte: epe.gov.br, BEN2026.pdf</t>
  </si>
  <si>
    <t xml:space="preserve">PCI em GJ/t</t>
  </si>
  <si>
    <t xml:space="preserve">Tributos sobre o CIF</t>
  </si>
  <si>
    <t xml:space="preserve">CIF puro</t>
  </si>
  <si>
    <t xml:space="preserve">II (TEC) = 0% p/ NCM 2701.12.00; ICMS-importação de insumo industrial em geral diferido (MG/ES/RJ/CE). Convenção COM atendida pelo CIF. Documentar se revisar.</t>
  </si>
  <si>
    <t xml:space="preserve">ÓLEO DIESEL</t>
  </si>
  <si>
    <t xml:space="preserve">Preço nacional no Model_Config (USD/GJ)</t>
  </si>
  <si>
    <t xml:space="preserve">Nível da Fuel_Prices do Model_Config_12 (ancoragem do método da razão; ANP revenda só dá a estrutura relativa entre UFs)</t>
  </si>
  <si>
    <t xml:space="preserve">HIDROGÊNIO ELETROLÍTICO</t>
  </si>
  <si>
    <t xml:space="preserve">Nível da Fuel_Prices do Model_Config_12</t>
  </si>
  <si>
    <t xml:space="preserve">Alfa: fração eletricidade no LCOH</t>
  </si>
  <si>
    <t xml:space="preserve">FIXADO: IRENA (2020), Green Hydrogen Cost Reduction, Abu Dhabi — dos conjuntos de parâmetros "average" e "best" (eletricidade 53 e 20 US$/MWh; CAPEX 770 e 130 US$/kW) deriva-se fração eletricidade de ~60-80% do LCOH; alfa=0,72 = ponto médio. Secundária: IEA, Global Hydrogen Review.</t>
  </si>
  <si>
    <t xml:space="preserve">Razão amortecida: H2(UF) = nível x [alfa x EE(UF)/EE(nac) + (1-alfa)]. Só a parcela elétrica do custo varia com a UF; CAPEX do eletrolisador, água e O&amp;M não.</t>
  </si>
  <si>
    <t xml:space="preserve">MINÉRIO DE FERRO E PELOTA (método delta)</t>
  </si>
  <si>
    <t xml:space="preserve">Intensidade minério — família BF/IBT (t/t aço)</t>
  </si>
  <si>
    <t xml:space="preserve">FIXADO: worldsteel, "Raw materials" (worldsteel.org): "it takes 1.6 tonnes of iron ore ... to produce a tonne of pig iron". Base gusa; via BOF com sucata, o fact sheet indica 1,37 t/t aço bruto — documentar a base adotada (gusa) na tese.</t>
  </si>
  <si>
    <t xml:space="preserve">Intensidade pelota — família DR (t/t aço)</t>
  </si>
  <si>
    <t xml:space="preserve">A CONFIRMAR DOCUMENTO: ~1,4 t de óxido (pelota) por t de DRI é o valor de referência Midrex/IIMA; com ~1,0-1,1 t DRI/t aço via EAF, 1,45 t/t é consistente. Validar no fact sheet IIMA ou Midrex e registrar ano.</t>
  </si>
  <si>
    <t xml:space="preserve">Cabotagem minério/pelota (US$/t)</t>
  </si>
  <si>
    <t xml:space="preserve">PROXY: spread CIF-FOB do carvão importado (Comex 2024: 198,14 - 182,02 = 16,12 US$/t) = frete marítimo + seguro observado de granel sólido até porto brasileiro. Modo cabotagem verificável no Anuário ANTAQ (fluxo Ponta da Madeira -&gt; Pecém); ferrovia inexistente (Transnordestina inacabada) e rodovia proibitiva (~900 km de granel).</t>
  </si>
  <si>
    <t xml:space="preserve">Âncoras (delta = 0): MG p/ minério comum (frota BF dominante; fretes intraestaduais curtos desprezados) e ES p/ pelota (pelotizadoras de Tubarão). Só diferenças entre UFs entram no modelo — o custo cheio permanece embutido na OPEX das rotas.</t>
  </si>
  <si>
    <t xml:space="preserve">Chave delta pelota MA (OBSERVADO/ZERO)</t>
  </si>
  <si>
    <t xml:space="preserve">OBSERVADO</t>
  </si>
  <si>
    <t xml:space="preserve">CASO-BASE = OBSERVADO (-16,82 US$/t, Comex NCM 2601.12.10, rastreável; ressalva: FOB mistura pelota AF e DR-grade). ANÁLISE DE SENSIBILIDADE planejada: mudar para ZERO e rodar de novo — se o MA for escolhido nos dois cenários, achado sólido; se só no OBSERVADO, a localização da DR é sensível ao preço relativo da pelota (resultado publicável). NÃO APAGAR esta nota.</t>
  </si>
  <si>
    <t xml:space="preserve">Eletricidade — ANEEL, tarifas homologadas (Subgrupo A4, Verde, Tarifa de Aplicação, Fora ponta, MWh)</t>
  </si>
  <si>
    <t xml:space="preserve">Valores vigentes em 31/12 de cada ano, em R$/MWh. Preço = TUSD + TE (sem tributos). Colunas amarelas: você edita. UF "VERIFICAR" = não identifiquei a distribuidora com segurança.</t>
  </si>
  <si>
    <t xml:space="preserve">Distribuidora (SigAgente)</t>
  </si>
  <si>
    <t xml:space="preserve">UF</t>
  </si>
  <si>
    <t xml:space="preserve">Peso</t>
  </si>
  <si>
    <t xml:space="preserve">Tipo</t>
  </si>
  <si>
    <t xml:space="preserve">TUSD 2022</t>
  </si>
  <si>
    <t xml:space="preserve">TE 2022</t>
  </si>
  <si>
    <t xml:space="preserve">Total 2022</t>
  </si>
  <si>
    <t xml:space="preserve">TUSD 2023</t>
  </si>
  <si>
    <t xml:space="preserve">TE 2023</t>
  </si>
  <si>
    <t xml:space="preserve">Total 2023</t>
  </si>
  <si>
    <t xml:space="preserve">TUSD 2024</t>
  </si>
  <si>
    <t xml:space="preserve">TE 2024</t>
  </si>
  <si>
    <t xml:space="preserve">Total 2024</t>
  </si>
  <si>
    <t xml:space="preserve">Total ano-base</t>
  </si>
  <si>
    <t xml:space="preserve">TUSD demanda 2024 (R$/kW)</t>
  </si>
  <si>
    <t xml:space="preserve">CASTRO-DIS</t>
  </si>
  <si>
    <t xml:space="preserve">PR</t>
  </si>
  <si>
    <t xml:space="preserve">Menor porte</t>
  </si>
  <si>
    <t xml:space="preserve">CEA</t>
  </si>
  <si>
    <t xml:space="preserve">AP</t>
  </si>
  <si>
    <t xml:space="preserve">Concessionária</t>
  </si>
  <si>
    <t xml:space="preserve">CEDRAP</t>
  </si>
  <si>
    <t xml:space="preserve">VERIFICAR</t>
  </si>
  <si>
    <t xml:space="preserve">Cooperativa/Perm.</t>
  </si>
  <si>
    <t xml:space="preserve">CEDRI</t>
  </si>
  <si>
    <t xml:space="preserve">CEEE-D</t>
  </si>
  <si>
    <t xml:space="preserve">RS</t>
  </si>
  <si>
    <t xml:space="preserve">CEGERO</t>
  </si>
  <si>
    <t xml:space="preserve">CEJAMA</t>
  </si>
  <si>
    <t xml:space="preserve">CELESC</t>
  </si>
  <si>
    <t xml:space="preserve">SC</t>
  </si>
  <si>
    <t xml:space="preserve">CELETRO</t>
  </si>
  <si>
    <t xml:space="preserve">CEMIG-D</t>
  </si>
  <si>
    <t xml:space="preserve">MG</t>
  </si>
  <si>
    <t xml:space="preserve">CEMIRIM</t>
  </si>
  <si>
    <t xml:space="preserve">CEPRAG</t>
  </si>
  <si>
    <t xml:space="preserve">CERAL ANITÁPOLIS</t>
  </si>
  <si>
    <t xml:space="preserve">CERAL ARARUAMA</t>
  </si>
  <si>
    <t xml:space="preserve">CERAL-DIS</t>
  </si>
  <si>
    <t xml:space="preserve">CERBRANORTE</t>
  </si>
  <si>
    <t xml:space="preserve">CERCI</t>
  </si>
  <si>
    <t xml:space="preserve">CERCOS</t>
  </si>
  <si>
    <t xml:space="preserve">CEREJ</t>
  </si>
  <si>
    <t xml:space="preserve">CERES</t>
  </si>
  <si>
    <t xml:space="preserve">CERFOX</t>
  </si>
  <si>
    <t xml:space="preserve">CERGAL</t>
  </si>
  <si>
    <t xml:space="preserve">CERGAPA</t>
  </si>
  <si>
    <t xml:space="preserve">CERGRAL</t>
  </si>
  <si>
    <t xml:space="preserve">CERILUZ</t>
  </si>
  <si>
    <t xml:space="preserve">CERIM</t>
  </si>
  <si>
    <t xml:space="preserve">CERIPa</t>
  </si>
  <si>
    <t xml:space="preserve">CERIS</t>
  </si>
  <si>
    <t xml:space="preserve">CERMC</t>
  </si>
  <si>
    <t xml:space="preserve">CERMISSÕES</t>
  </si>
  <si>
    <t xml:space="preserve">CERMOFUL</t>
  </si>
  <si>
    <t xml:space="preserve">CERNHE</t>
  </si>
  <si>
    <t xml:space="preserve">CERPALO</t>
  </si>
  <si>
    <t xml:space="preserve">CERPRO</t>
  </si>
  <si>
    <t xml:space="preserve">CERRP</t>
  </si>
  <si>
    <t xml:space="preserve">CERSAD DISTRIBUI</t>
  </si>
  <si>
    <t xml:space="preserve">CERSUL</t>
  </si>
  <si>
    <t xml:space="preserve">CERTAJA</t>
  </si>
  <si>
    <t xml:space="preserve">CERTEL ENERGIA</t>
  </si>
  <si>
    <t xml:space="preserve">CERTHIL</t>
  </si>
  <si>
    <t xml:space="preserve">CERTREL</t>
  </si>
  <si>
    <t xml:space="preserve">CERVAM</t>
  </si>
  <si>
    <t xml:space="preserve">CETRIL</t>
  </si>
  <si>
    <t xml:space="preserve">CHESP</t>
  </si>
  <si>
    <t xml:space="preserve">GO</t>
  </si>
  <si>
    <t xml:space="preserve">COCEL</t>
  </si>
  <si>
    <t xml:space="preserve">CODESAM</t>
  </si>
  <si>
    <t xml:space="preserve">COELBA</t>
  </si>
  <si>
    <t xml:space="preserve">BA</t>
  </si>
  <si>
    <t xml:space="preserve">COOPERA</t>
  </si>
  <si>
    <t xml:space="preserve">COOPERALIANÇA</t>
  </si>
  <si>
    <t xml:space="preserve">COOPERCOCAL</t>
  </si>
  <si>
    <t xml:space="preserve">COOPERLUZ</t>
  </si>
  <si>
    <t xml:space="preserve">COOPERMILA</t>
  </si>
  <si>
    <t xml:space="preserve">COOPERNORTE</t>
  </si>
  <si>
    <t xml:space="preserve">COOPERSUL</t>
  </si>
  <si>
    <t xml:space="preserve">COOPERZEM</t>
  </si>
  <si>
    <t xml:space="preserve">COORSEL</t>
  </si>
  <si>
    <t xml:space="preserve">COPEL-DIS</t>
  </si>
  <si>
    <t xml:space="preserve">COPREL</t>
  </si>
  <si>
    <t xml:space="preserve">COSERN</t>
  </si>
  <si>
    <t xml:space="preserve">RN</t>
  </si>
  <si>
    <t xml:space="preserve">CPFL Santa Cruz</t>
  </si>
  <si>
    <t xml:space="preserve">SP</t>
  </si>
  <si>
    <t xml:space="preserve">CPFL-PAULISTA</t>
  </si>
  <si>
    <t xml:space="preserve">CPFL-PIRATINING</t>
  </si>
  <si>
    <t xml:space="preserve">CRELUZ-D</t>
  </si>
  <si>
    <t xml:space="preserve">Ceraçá</t>
  </si>
  <si>
    <t xml:space="preserve">DCELT</t>
  </si>
  <si>
    <t xml:space="preserve">DEMEI</t>
  </si>
  <si>
    <t xml:space="preserve">DMED</t>
  </si>
  <si>
    <t xml:space="preserve">EAC</t>
  </si>
  <si>
    <t xml:space="preserve">AC</t>
  </si>
  <si>
    <t xml:space="preserve">EDP ES</t>
  </si>
  <si>
    <t xml:space="preserve">ES</t>
  </si>
  <si>
    <t xml:space="preserve">EDP SP</t>
  </si>
  <si>
    <t xml:space="preserve">EFLJC</t>
  </si>
  <si>
    <t xml:space="preserve">EFLUL</t>
  </si>
  <si>
    <t xml:space="preserve">ELEKTRO</t>
  </si>
  <si>
    <t xml:space="preserve">ELETROCAR</t>
  </si>
  <si>
    <t xml:space="preserve">ELETROPAULO</t>
  </si>
  <si>
    <t xml:space="preserve">ELFSM</t>
  </si>
  <si>
    <t xml:space="preserve">EMR</t>
  </si>
  <si>
    <t xml:space="preserve">EMS</t>
  </si>
  <si>
    <t xml:space="preserve">MS</t>
  </si>
  <si>
    <t xml:space="preserve">EMT</t>
  </si>
  <si>
    <t xml:space="preserve">MT</t>
  </si>
  <si>
    <t xml:space="preserve">ENEL CE</t>
  </si>
  <si>
    <t xml:space="preserve">CE</t>
  </si>
  <si>
    <t xml:space="preserve">ENEL RJ</t>
  </si>
  <si>
    <t xml:space="preserve">RJ</t>
  </si>
  <si>
    <t xml:space="preserve">EPB</t>
  </si>
  <si>
    <t xml:space="preserve">PB</t>
  </si>
  <si>
    <t xml:space="preserve">EQUATORIAL AL</t>
  </si>
  <si>
    <t xml:space="preserve">AL</t>
  </si>
  <si>
    <t xml:space="preserve">EQUATORIAL GO</t>
  </si>
  <si>
    <t xml:space="preserve">EQUATORIAL MA</t>
  </si>
  <si>
    <t xml:space="preserve">MA</t>
  </si>
  <si>
    <t xml:space="preserve">EQUATORIAL PA</t>
  </si>
  <si>
    <t xml:space="preserve">PA</t>
  </si>
  <si>
    <t xml:space="preserve">EQUATORIAL PI</t>
  </si>
  <si>
    <t xml:space="preserve">PI</t>
  </si>
  <si>
    <t xml:space="preserve">ERO</t>
  </si>
  <si>
    <t xml:space="preserve">RO</t>
  </si>
  <si>
    <t xml:space="preserve">ESE</t>
  </si>
  <si>
    <t xml:space="preserve">SE</t>
  </si>
  <si>
    <t xml:space="preserve">ESS</t>
  </si>
  <si>
    <t xml:space="preserve">ETO</t>
  </si>
  <si>
    <t xml:space="preserve">TO</t>
  </si>
  <si>
    <t xml:space="preserve">HIDROPAN</t>
  </si>
  <si>
    <t xml:space="preserve">LIGHT SESA</t>
  </si>
  <si>
    <t xml:space="preserve">MUXENERGIA</t>
  </si>
  <si>
    <t xml:space="preserve">Neoenergia Brasília</t>
  </si>
  <si>
    <t xml:space="preserve">DF</t>
  </si>
  <si>
    <t xml:space="preserve">Neoenergia PE</t>
  </si>
  <si>
    <t xml:space="preserve">PE</t>
  </si>
  <si>
    <t xml:space="preserve">Não Informado</t>
  </si>
  <si>
    <t xml:space="preserve">PACTO ENERGIA PR</t>
  </si>
  <si>
    <t xml:space="preserve">RGE</t>
  </si>
  <si>
    <t xml:space="preserve">SULGIPE</t>
  </si>
  <si>
    <t xml:space="preserve">UHENPAL</t>
  </si>
  <si>
    <t xml:space="preserve">ÂMBAR ENERGIA RR</t>
  </si>
  <si>
    <t xml:space="preserve">RR</t>
  </si>
  <si>
    <t xml:space="preserve">Âmbar Amazonas</t>
  </si>
  <si>
    <t xml:space="preserve">AM</t>
  </si>
  <si>
    <t xml:space="preserve">Eletricidade por UF</t>
  </si>
  <si>
    <t xml:space="preserve">Média das distribuidoras com Peso = 1 em EE_ANEEL. Coluna G (ICMS) é amarela: sobrescreva por UF. UF sem nenhuma distribuidora marcada herda a média nacional.</t>
  </si>
  <si>
    <t xml:space="preserve">N distrib. (peso 1)</t>
  </si>
  <si>
    <t xml:space="preserve">TUSD+TE fora ponta (R$/MWh)</t>
  </si>
  <si>
    <t xml:space="preserve">TUSD demanda (R$/kW)</t>
  </si>
  <si>
    <t xml:space="preserve">Adicional de demanda (R$/MWh)</t>
  </si>
  <si>
    <t xml:space="preserve">Subtotal sem tributos (R$/MWh)</t>
  </si>
  <si>
    <t xml:space="preserve">ICMS (%)</t>
  </si>
  <si>
    <t xml:space="preserve">Total conforme convenção (R$/MWh)</t>
  </si>
  <si>
    <t xml:space="preserve">R$/GJ</t>
  </si>
  <si>
    <t xml:space="preserve">USD/GJ</t>
  </si>
  <si>
    <t xml:space="preserve">Usa fallback nacional?</t>
  </si>
  <si>
    <t xml:space="preserve">Média nacional</t>
  </si>
  <si>
    <t xml:space="preserve">Gás natural — Boletim Mensal do Gás (MME), segmento industrial 20.000 m³/dia, US$/MMBtu, COM tributos</t>
  </si>
  <si>
    <t xml:space="preserve">Valores lidos dos gráficos "Preço do Gás Natural ao Consumidor Final - Por Distribuidora" de cada edição. São observações de DEZEMBRO (set/2025 na última coluna), não médias anuais. Servem apenas para a ESTRUTURA relativa.</t>
  </si>
  <si>
    <t xml:space="preserve">Distribuidora</t>
  </si>
  <si>
    <t xml:space="preserve">Região</t>
  </si>
  <si>
    <t xml:space="preserve">dez/2022</t>
  </si>
  <si>
    <t xml:space="preserve">dez/2023</t>
  </si>
  <si>
    <t xml:space="preserve">dez/2024</t>
  </si>
  <si>
    <t xml:space="preserve">set/2025</t>
  </si>
  <si>
    <t xml:space="preserve">Obs ano-base</t>
  </si>
  <si>
    <t xml:space="preserve">Razão vs nacional</t>
  </si>
  <si>
    <t xml:space="preserve">Algás</t>
  </si>
  <si>
    <t xml:space="preserve">Nordeste</t>
  </si>
  <si>
    <t xml:space="preserve">Bahiagás</t>
  </si>
  <si>
    <t xml:space="preserve">ES GÁS</t>
  </si>
  <si>
    <t xml:space="preserve">Sudeste</t>
  </si>
  <si>
    <t xml:space="preserve">Ceg</t>
  </si>
  <si>
    <t xml:space="preserve">Ceg Rio</t>
  </si>
  <si>
    <t xml:space="preserve">Cegás</t>
  </si>
  <si>
    <t xml:space="preserve">Comgás</t>
  </si>
  <si>
    <t xml:space="preserve">Copergás</t>
  </si>
  <si>
    <t xml:space="preserve">Pbgás</t>
  </si>
  <si>
    <t xml:space="preserve">Potigás</t>
  </si>
  <si>
    <t xml:space="preserve">Sergás</t>
  </si>
  <si>
    <t xml:space="preserve">Gasmig</t>
  </si>
  <si>
    <t xml:space="preserve">São Paulo Sul</t>
  </si>
  <si>
    <t xml:space="preserve">Gás Brasiliano</t>
  </si>
  <si>
    <t xml:space="preserve">Compagás</t>
  </si>
  <si>
    <t xml:space="preserve">Sul</t>
  </si>
  <si>
    <t xml:space="preserve">Msgás</t>
  </si>
  <si>
    <t xml:space="preserve">Centro-Oeste</t>
  </si>
  <si>
    <t xml:space="preserve">Scgás</t>
  </si>
  <si>
    <t xml:space="preserve">Sulgás</t>
  </si>
  <si>
    <t xml:space="preserve">Cigás</t>
  </si>
  <si>
    <t xml:space="preserve">Norte</t>
  </si>
  <si>
    <t xml:space="preserve">VERIFICAÇÃO E ÂNCORAS NACIONAIS</t>
  </si>
  <si>
    <t xml:space="preserve">Média simples calculada (dez do ano-base)</t>
  </si>
  <si>
    <t xml:space="preserve">Nacional publicado no Boletim, 20.000 m³/d, dez (US$/MMBtu)</t>
  </si>
  <si>
    <t xml:space="preserve">Nacional do ano-base (denominador da razão)</t>
  </si>
  <si>
    <t xml:space="preserve">Diferença calculado - publicado (deve ser ~0)</t>
  </si>
  <si>
    <t xml:space="preserve">Teste de leitura dos gráficos. Verificado: dez/22 20,99 vs 20,98 | dez/23 20,22 vs 20,22 | dez/24 16,77 vs 16,76 | set/25 19,45 vs 19,44.</t>
  </si>
  <si>
    <t xml:space="preserve">NÍVEL — média anual nacional publicada (R$/m³, com tributos)</t>
  </si>
  <si>
    <t xml:space="preserve">Faixa 20.000 m³/dia</t>
  </si>
  <si>
    <t xml:space="preserve">Faixa 50.000 m³/dia</t>
  </si>
  <si>
    <t xml:space="preserve">Média anual do ano-base, faixa escolhida (R$/m³)</t>
  </si>
  <si>
    <t xml:space="preserve">Fonte: Boletim do Gás, "Histórico de Preços - Segmento Industrial", linha Média Nacional (R$/m³).</t>
  </si>
  <si>
    <t xml:space="preserve">TRIBUTOS — participação de impostos no preço industrial 20.000 m³/d, por região</t>
  </si>
  <si>
    <t xml:space="preserve">Sem imposto</t>
  </si>
  <si>
    <t xml:space="preserve">Imposto</t>
  </si>
  <si>
    <t xml:space="preserve">% imposto</t>
  </si>
  <si>
    <t xml:space="preserve">Fonte: Boletim do Gás dez/2024, "Competitividade do Gás Natural — preços ao consumidor final (R$/MMBTU)", gráfico "Gás industrial 20.000 m³/dia". Centro-Oeste não foi publicado em dez/2024; valor de set/2025.</t>
  </si>
  <si>
    <t xml:space="preserve">Gás natural por UF — método da razão</t>
  </si>
  <si>
    <t xml:space="preserve">Preço_UF = razão(estrutura de dezembro) × nível(média anual nacional). UF sem distribuidora com movimentação herda o nacional.</t>
  </si>
  <si>
    <t xml:space="preserve">Razão média das distribuidoras da UF</t>
  </si>
  <si>
    <t xml:space="preserve">R$/m³ (com tributos)</t>
  </si>
  <si>
    <t xml:space="preserve">R$/m³ (conforme convenção)</t>
  </si>
  <si>
    <t xml:space="preserve">USD/GJ base PCI</t>
  </si>
  <si>
    <t xml:space="preserve">Carvão metalúrgico importado — Comex Stat (MDIC), NCM 2701.12.00, Brasil</t>
  </si>
  <si>
    <t xml:space="preserve">Hulha betuminosa, não aglomerada. Importações nacionais, consulta geral. CIF = FOB + frete + seguro, sem tributos internos (ver Premissas!B36). Fonte: comexstat.mdic.gov.br, extração 16/07/2026. CIF por porto/UF não diferenciado: carvão transoceânico é commodity global; a diferenciação estadual vem do frete interno (CM_Frete).</t>
  </si>
  <si>
    <t xml:space="preserve">Ano</t>
  </si>
  <si>
    <t xml:space="preserve">US$ CIF</t>
  </si>
  <si>
    <t xml:space="preserve">kg líquido</t>
  </si>
  <si>
    <t xml:space="preserve">CIF US$/t</t>
  </si>
  <si>
    <t xml:space="preserve">US$ FOB</t>
  </si>
  <si>
    <t xml:space="preserve">FOB US$/t</t>
  </si>
  <si>
    <t xml:space="preserve">CIF do ano-base (US$/t)</t>
  </si>
  <si>
    <t xml:space="preserve">Ano-base = 0 em Premissas!C6 usa a média 2022–2024.</t>
  </si>
  <si>
    <t xml:space="preserve">Frete ferroviário porto -&gt; usina — tarifas de referência ANTT (carvão mineral)</t>
  </si>
  <si>
    <t xml:space="preserve">Tarifa = parcela fixa (R$/t) + parcela variável (R$/t.km) x distância. Tarifas máximas homologadas pela ANTT, sem ICMS (Lei 13.673/2018). Distâncias somadas a partir dos marcos quilométricos das Declarações de Rede 2025 (MRS e EFVM) e do marco da estação Intendente Câmara (km 447 da EFVM). Células amarelas: editáveis.</t>
  </si>
  <si>
    <t xml:space="preserve">TARIFAS</t>
  </si>
  <si>
    <t xml:space="preserve">Ferrovia</t>
  </si>
  <si>
    <t xml:space="preserve">Fixa R$/t</t>
  </si>
  <si>
    <t xml:space="preserve">Variável R$/t.km</t>
  </si>
  <si>
    <t xml:space="preserve">Fonte</t>
  </si>
  <si>
    <t xml:space="preserve">MRS</t>
  </si>
  <si>
    <t xml:space="preserve">CARVAO MINERAL, Deliberação ANTT nº 54/2024, vigente 29/07/2024–28/07/2025 (31/12/2024)</t>
  </si>
  <si>
    <t xml:space="preserve">EFVM</t>
  </si>
  <si>
    <t xml:space="preserve">CARVÃO MINERAL, Deliberação ANTT nº 99/2022 (vigência 21/12/2022), simulador tarifário Vale</t>
  </si>
  <si>
    <t xml:space="preserve">Fator de atualização EFVM p/ ano-base</t>
  </si>
  <si>
    <t xml:space="preserve">IPCA 2023 (4,62%) x 2024 (4,83%). Usar 1,0 para manter a tabela como publicada. CONFERIR deliberação de reajuste EFVM vigente em 2024.</t>
  </si>
  <si>
    <t xml:space="preserve">FLUXOS</t>
  </si>
  <si>
    <t xml:space="preserve">Fluxo</t>
  </si>
  <si>
    <t xml:space="preserve">Distância km</t>
  </si>
  <si>
    <t xml:space="preserve">R$/t</t>
  </si>
  <si>
    <t xml:space="preserve">Fonte da distância</t>
  </si>
  <si>
    <t xml:space="preserve">Itaguaí -&gt; Ouro Branco</t>
  </si>
  <si>
    <t xml:space="preserve">Soma de marcos km (DR MRS 2025): Itaguaí-&gt;Japeri ~30 + Japeri(km 64 L.Centro)-&gt;B.do Piraí(km 108) + B.do Piraí(km 108 L.SP)-&gt;Saudade(km 156) + F.do Aço/Ligação até Jeceaba (km 305) + Jeceaba(km 504 L.Centro)-&gt;Dr.J.Murtinho(km 478) + Ramal Açominas 9,6</t>
  </si>
  <si>
    <t xml:space="preserve">Itaguaí -&gt; Volta Redonda</t>
  </si>
  <si>
    <t xml:space="preserve">Itaguaí-&gt;Japeri ~30 + Japeri-&gt;B.do Piraí 44 + B.do Piraí(km 108)-&gt;Volta Redonda(km 144,9 L.SP) 36,7</t>
  </si>
  <si>
    <t xml:space="preserve">Praia Mole -&gt; Ipatinga</t>
  </si>
  <si>
    <t xml:space="preserve">Marco km 447 da estação Intendente Câmara (EFVM) + Ramal Tubarão 12,4 (DR EFVM 2025)</t>
  </si>
  <si>
    <t xml:space="preserve">Praia Mole -&gt; Monlevade</t>
  </si>
  <si>
    <t xml:space="preserve">Estimativa: tronco até RH-77/Desemb. Drumond (km 507) + Drumond–Piçarrão 16 + trecho até Monlevade ~15 + Ramal Tubarão. REFINAR se necessário</t>
  </si>
  <si>
    <t xml:space="preserve">ADICIONAL POR UF (ponderado pela capacidade das plantas a carvão mineral)</t>
  </si>
  <si>
    <t xml:space="preserve">Planta</t>
  </si>
  <si>
    <t xml:space="preserve">Capacidade kt</t>
  </si>
  <si>
    <t xml:space="preserve">Frete R$/t</t>
  </si>
  <si>
    <t xml:space="preserve">Obs</t>
  </si>
  <si>
    <t xml:space="preserve">Gerdau Ouro Branco</t>
  </si>
  <si>
    <t xml:space="preserve">Usiminas Ipatinga</t>
  </si>
  <si>
    <t xml:space="preserve">AM Monlevade</t>
  </si>
  <si>
    <t xml:space="preserve">CSN Volta Redonda</t>
  </si>
  <si>
    <t xml:space="preserve">Ternium Santa Cruz</t>
  </si>
  <si>
    <t xml:space="preserve">porto (Itaguaí/Sepetiba): frete 0</t>
  </si>
  <si>
    <t xml:space="preserve">AM Tubarão</t>
  </si>
  <si>
    <t xml:space="preserve">porto (Praia Mole): frete 0</t>
  </si>
  <si>
    <t xml:space="preserve">AM Pecém</t>
  </si>
  <si>
    <t xml:space="preserve">porto (Pecém): frete 0</t>
  </si>
  <si>
    <t xml:space="preserve">Adicional MG (R$/t)</t>
  </si>
  <si>
    <t xml:space="preserve">Adicional RJ (R$/t)</t>
  </si>
  <si>
    <t xml:space="preserve">Câmbio do ano-base (R$/US$)</t>
  </si>
  <si>
    <t xml:space="preserve">Adicional MG (US$/t)</t>
  </si>
  <si>
    <t xml:space="preserve">Adicional RJ (US$/t)</t>
  </si>
  <si>
    <t xml:space="preserve">Demais UFs: adicional 0 (hipótese: greenfield/planta litorânea recebe CIF no porto mais próximo). Documentado no LEIA-ME.</t>
  </si>
  <si>
    <t xml:space="preserve">Carvão metalúrgico — preço por UF (US$/GJ)</t>
  </si>
  <si>
    <t xml:space="preserve">Preço UF = CIF nacional do ano-base (CM_Comex) + adicional de frete ferroviário (CM_Frete), convertido por PCI (Premissas!C35). UFs sem planta a carvão ou litorâneas: adicional 0.</t>
  </si>
  <si>
    <t xml:space="preserve">Adicional frete US$/t</t>
  </si>
  <si>
    <t xml:space="preserve">Preço US$/t</t>
  </si>
  <si>
    <t xml:space="preserve">Preço US$/GJ</t>
  </si>
  <si>
    <t xml:space="preserve">Óleo diesel — preço por UF (US$/GJ), método da razão</t>
  </si>
  <si>
    <t xml:space="preserve">Estrutura: ANP, Levantamento de Preços de Combustíveis (SLP), preço médio de REVENDA de ÓLEO DIESEL (B S500), média simples das semanas de 2024, por UF. Nível: preço nacional do Model_Config (Premissas!C39), pois revenda inclui margem varejista que o consumidor industrial não paga. Preço UF = (R$/L da UF ÷ média nacional simples) x nível nacional. Mesma lógica do gás natural (estrutura de uma fonte, nível de outra).</t>
  </si>
  <si>
    <t xml:space="preserve">R$/L 2024 (ANP)</t>
  </si>
  <si>
    <t xml:space="preserve">Média nacional simples (R$/L)</t>
  </si>
  <si>
    <t xml:space="preserve">Fonte: semanal-estados-desde-2013.xlsx (ANP), produto OLEO DIESEL, 2024. Valores agregados a partir das ~113 mil linhas do arquivo original.</t>
  </si>
  <si>
    <t xml:space="preserve">Hidrogênio eletrolítico — preço por UF (US$/GJ), razão amortecida sobre eletricidade</t>
  </si>
  <si>
    <t xml:space="preserve">Estrutura: coluna de eletricidade por UF desta planilha (EE_por_UF, ANEEL A4). Nível: preço nacional do Model_Config (Premissas!C42). H2(UF) = nível x [alfa x razão_EE + (1-alfa)], alfa = fração eletricidade no LCOH (Premissas!C43). Ressalva metodológica: tarifa de rede A4 difere de PPA renovável dedicado de hub; a razão captura a estrutura relativa entre UFs, não o nível absoluto de projeto. A elegibilidade geográfica do DR-H2 (UFs com hub) é tratada no script (H2_ALLOWED_STATES), não no preço.</t>
  </si>
  <si>
    <t xml:space="preserve">EE US$/GJ</t>
  </si>
  <si>
    <t xml:space="preserve">Razão EE vs nacional</t>
  </si>
  <si>
    <t xml:space="preserve">Preço H2 US$/GJ</t>
  </si>
  <si>
    <t xml:space="preserve">Média nacional simples EE (US$/GJ)</t>
  </si>
  <si>
    <t xml:space="preserve">Minério de ferro — preço implícito na mina por UF (ANM, Anuário Mineral Brasileiro)</t>
  </si>
  <si>
    <t xml:space="preserve">DADOS PREENCHIDOS: ANM, Anuário Mineral Brasileiro 2022 (ano-base 2021), Tabela 1.1 — Produção Comercializada Beneficiada, substância Ferro, quantidade (t) e valor (R$). Preço implícito = Valor/Quantidade. RESSALVAS: 2021 foi ano de pico de preço do minério (a razão PA/MG é mais estável que os níveis); valor comercializado = preço realizado de venda, não custo de mina; câmbio da planilha aplicado como aproximação (dif. em US$/t usado no modelo); linha ES reflete aglomerados (Samarco), não mina. Atualizar quando houver AMB mais recente.</t>
  </si>
  <si>
    <t xml:space="preserve">Produção comercializada (t)</t>
  </si>
  <si>
    <t xml:space="preserve">Valor (R$)</t>
  </si>
  <si>
    <t xml:space="preserve">US$/t</t>
  </si>
  <si>
    <t xml:space="preserve">Fonte (edição AMB)</t>
  </si>
  <si>
    <t xml:space="preserve">AMB 2022 (base 2021), Tab. 1.1, comercializada beneficiada</t>
  </si>
  <si>
    <t xml:space="preserve">AMB 2022 — valor reflete aglomerados (Samarco); NÃO usar como preço de mina</t>
  </si>
  <si>
    <t xml:space="preserve">AMB 2022 (base 2021), Tab. 1.1</t>
  </si>
  <si>
    <t xml:space="preserve">Diferencial PA - MG (US$/t)</t>
  </si>
  <si>
    <t xml:space="preserve">Enquanto vazio, o diferencial retorna 0 e o modelo roda sem o efeito preço-de-mina.</t>
  </si>
  <si>
    <t xml:space="preserve">Pelota de minério de ferro — FOB de exportação por UF de origem (Comex Stat, NCM 2601.12.00)</t>
  </si>
  <si>
    <t xml:space="preserve">DADOS PREENCHIDOS: comexstat.mdic.gov.br, Exportação, NCM 2601.12.10 (aglomerados por peletização), detalhe por UF DO PRODUTO (ES = Tubarão; MA = São Luís), US$ FOB e kg líquido, 2022-2024, extração 19/07/2026. RESSALVA (decisão em aberto): o FOB por UF mistura pelota de alto-forno e DR-grade; o delta MA-ES negativo (-16,82 US$/t em 2024) pode refletir mix de produtos, não vantagem locacional pura. Alternativa conservadora: truncar o delta em 0. Geografia da aglomeração: 11 pelotizadoras — 8 ES, 2 MG, 1 MA (São Luís, insumo de Carajás/PA).</t>
  </si>
  <si>
    <t xml:space="preserve">UF origem</t>
  </si>
  <si>
    <t xml:space="preserve">Comex Stat exportação, NCM 2601.12.10, UF do Produto, extração 19/07/2026</t>
  </si>
  <si>
    <t xml:space="preserve">FOB ano-base ES (US$/t)</t>
  </si>
  <si>
    <t xml:space="preserve">FOB ano-base MA (US$/t)</t>
  </si>
  <si>
    <t xml:space="preserve">Delta MA - ES (US$/t pelota)</t>
  </si>
  <si>
    <t xml:space="preserve">Frete ferroviário de minério mina -&gt; usina — tarifas de referência ANTT</t>
  </si>
  <si>
    <t xml:space="preserve">Mesmas fontes e estrutura do carvão (CM_Frete): tarifa = fixa + variável x distância, sem ICMS. Fluxos que definem o adicional das UFs não-âncora. MG = âncora (delta 0; fretes intraestaduais curtos desprezados, documentado nas Premissas).</t>
  </si>
  <si>
    <t xml:space="preserve">TARIFAS — MINÉRIO DE FERRO</t>
  </si>
  <si>
    <t xml:space="preserve">MINERIO DE FERRO, Deliberação ANTT nº 54/2024 (vigente 31/12/2024), tabela MRS</t>
  </si>
  <si>
    <t xml:space="preserve">MINÉRIO DE FERRO, Deliberação ANTT nº 99/2022 (vigência 21/12/2022), simulador tarifário Vale</t>
  </si>
  <si>
    <t xml:space="preserve">Fator de atualização EFVM</t>
  </si>
  <si>
    <t xml:space="preserve">Mesmo fator do carvão (CM_Frete!B8) — uma decisão, um lugar</t>
  </si>
  <si>
    <t xml:space="preserve">Itabira -&gt; Tubarão (usina ES)</t>
  </si>
  <si>
    <t xml:space="preserve">Tronco EFVM até Itabira (km 541, DR EFVM 2025) + Ramal Tubarão ~12</t>
  </si>
  <si>
    <t xml:space="preserve">Casa de Pedra -&gt; Volta Redonda</t>
  </si>
  <si>
    <t xml:space="preserve">Congonhas/Dr.J.Murtinho (km ~478 L.Centro) -&gt; Jeceaba (504) -&gt; F.do Aço (305) -&gt; Saudade -&gt; VR (km 144,9 L.SP). Estimativa por marcos — REFINAR</t>
  </si>
  <si>
    <t xml:space="preserve">Casa de Pedra -&gt; Itaguaí (Sta Cruz)</t>
  </si>
  <si>
    <t xml:space="preserve">Idem até Saudade + Saudade -&gt; B.do Piraí -&gt; Japeri -&gt; Itaguaí (~122). Estimativa por marcos — REFINAR</t>
  </si>
  <si>
    <t xml:space="preserve">ADICIONAL POR UF (ponderado por capacidade)</t>
  </si>
  <si>
    <t xml:space="preserve">Adicional ES (R$/t)</t>
  </si>
  <si>
    <t xml:space="preserve">Adicional ES (US$/t)</t>
  </si>
  <si>
    <t xml:space="preserve">Minério e pelota — diferenciais por UF (método delta, duas âncoras)</t>
  </si>
  <si>
    <t xml:space="preserve">Delta = intensidade x diferença de custo do insumo vs. âncora. Família BF/IBT: minério comum, âncora MG. Família DR: pelota DR-grade, âncora ES (Tubarão). EAF: imune (sem minério). UFs sem fluxo estimado: 0 por hipótese, documentado. Células vazias/0 com PENDENTE nas abas de origem não travam o modelo.</t>
  </si>
  <si>
    <t xml:space="preserve">Frete minério US$/t</t>
  </si>
  <si>
    <t xml:space="preserve">Dif. mina ANM US$/t</t>
  </si>
  <si>
    <t xml:space="preserve">Total minério US$/t</t>
  </si>
  <si>
    <t xml:space="preserve">Delta BF/IBT US$/t aço</t>
  </si>
  <si>
    <t xml:space="preserve">Adicional pelota US$/t</t>
  </si>
  <si>
    <t xml:space="preserve">Delta DR US$/t aço</t>
  </si>
  <si>
    <t xml:space="preserve">Nota</t>
  </si>
  <si>
    <t xml:space="preserve">Minério e pelota via cabotagem (Ponta da Madeira/Tubarão) — premissa pendente</t>
  </si>
  <si>
    <t xml:space="preserve">Frete EFVM Itabira-&gt;Tubarão; âncora família DR (pelota na fonte)</t>
  </si>
  <si>
    <t xml:space="preserve">Pelota na fonte (São Luís): delta FOB SL - Tubarão; chave de sensibilidade em Premissas!C51</t>
  </si>
  <si>
    <t xml:space="preserve">Âncora família BF/IBT (delta 0)</t>
  </si>
  <si>
    <t xml:space="preserve">Diferencial preço de mina Carajás vs MG (ANM) — pendente</t>
  </si>
  <si>
    <t xml:space="preserve">Frete MRS Casa de Pedra (ponderado VR/Sta Cruz); pelota via cabotagem de Tubarão</t>
  </si>
  <si>
    <t xml:space="preserve">Route</t>
  </si>
  <si>
    <t xml:space="preserve">State</t>
  </si>
  <si>
    <t xml:space="preserve">Extra_cost_USD_per_t</t>
  </si>
  <si>
    <t xml:space="preserve">Source_note</t>
  </si>
  <si>
    <t xml:space="preserve">SAÍDA — nova aba Ore_Cost_State no Model_Config_12 (copie A1:D163). Rotas ausentes (EAF) = sem delta. Requer novo bloco de leitura + termo na função objetivo do v20_13.</t>
  </si>
  <si>
    <t xml:space="preserve">BF-BOF MC</t>
  </si>
  <si>
    <t xml:space="preserve">Delta minério comum vs âncora MG: frete ANTT (MRS/EFVM) + dif. mina ANM; intensidade 1,6 t/t</t>
  </si>
  <si>
    <t xml:space="preserve">BF-BOF CC</t>
  </si>
  <si>
    <t xml:space="preserve">BF-BOF-CCS</t>
  </si>
  <si>
    <t xml:space="preserve">IBT</t>
  </si>
  <si>
    <t xml:space="preserve">DR-NG</t>
  </si>
  <si>
    <t xml:space="preserve">Delta pelota DR-grade vs âncora ES (Tubarão): FOB Comex por UF origem + cabotagem; intensidade 1,45 t/t</t>
  </si>
  <si>
    <t xml:space="preserve">DR-H2</t>
  </si>
  <si>
    <t xml:space="preserve">Fuel</t>
  </si>
  <si>
    <t xml:space="preserve">Price_USD_per_GJ</t>
  </si>
  <si>
    <t xml:space="preserve">SAÍDA — copie A1:D136 e cole na aba Fuel_Prices_State do Model_Config_12</t>
  </si>
  <si>
    <t xml:space="preserve">Eletricidade</t>
  </si>
  <si>
    <t xml:space="preserve">Gas natural</t>
  </si>
  <si>
    <t xml:space="preserve">Carvao mineral</t>
  </si>
  <si>
    <t xml:space="preserve">Comex Stat NCM 2701.12.00 CIF nacional + frete ferroviário ANTT (MG/RJ), PCI BEN</t>
  </si>
  <si>
    <t xml:space="preserve">Oleo diesel</t>
  </si>
  <si>
    <t xml:space="preserve">ANP SLP revenda 2024, método da razão sobre nível do Model_Config</t>
  </si>
  <si>
    <t xml:space="preserve">Hidrogenio</t>
  </si>
  <si>
    <t xml:space="preserve">Razão amortecida sobre EE ANEEL por UF (alfa=fração eletricidade no LCOH), nível do Model_Config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</si>
</sst>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"/>
    <numFmt numFmtId="166" formatCode="0.000"/>
    <numFmt numFmtId="167" formatCode="0.00E+00"/>
    <numFmt numFmtId="168" formatCode="0.000000"/>
    <numFmt numFmtId="169" formatCode="#,##0"/>
    <numFmt numFmtId="170" formatCode="0.0%"/>
    <numFmt numFmtId="171" formatCode="0.00"/>
    <numFmt numFmtId="172" formatCode="0.0"/>
    <numFmt numFmtId="173" formatCode="#,##0.00"/>
    <numFmt numFmtId="174" formatCode="0.0000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59595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name val="Arial"/>
      <family val="0"/>
      <charset val="1"/>
    </font>
    <font>
      <sz val="11"/>
      <color rgb="FF000000"/>
      <name val="Arial"/>
      <family val="0"/>
      <charset val="1"/>
    </font>
    <font>
      <sz val="9"/>
      <color rgb="FFC00000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2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2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2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2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1" activeCellId="0" sqref="D1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18"/>
  </cols>
  <sheetData>
    <row r="2" customFormat="false" ht="17.25" hidden="false" customHeight="true" outlineLevel="0" collapsed="false">
      <c r="B2" s="2" t="s">
        <v>0</v>
      </c>
    </row>
    <row r="3" customFormat="false" ht="14.25" hidden="false" customHeight="true" outlineLevel="0" collapsed="false">
      <c r="B3" s="3" t="s">
        <v>1</v>
      </c>
    </row>
    <row r="5" customFormat="false" ht="14.25" hidden="false" customHeight="true" outlineLevel="0" collapsed="false">
      <c r="B5" s="4" t="s">
        <v>2</v>
      </c>
    </row>
    <row r="6" customFormat="false" ht="14.25" hidden="false" customHeight="true" outlineLevel="0" collapsed="false">
      <c r="B6" s="5" t="s">
        <v>3</v>
      </c>
    </row>
    <row r="7" customFormat="false" ht="14.25" hidden="false" customHeight="true" outlineLevel="0" collapsed="false">
      <c r="B7" s="5" t="s">
        <v>4</v>
      </c>
    </row>
    <row r="8" customFormat="false" ht="14.25" hidden="false" customHeight="true" outlineLevel="0" collapsed="false">
      <c r="B8" s="5" t="s">
        <v>5</v>
      </c>
    </row>
    <row r="10" customFormat="false" ht="14.25" hidden="false" customHeight="true" outlineLevel="0" collapsed="false">
      <c r="B10" s="4" t="s">
        <v>6</v>
      </c>
    </row>
    <row r="11" customFormat="false" ht="14.25" hidden="false" customHeight="true" outlineLevel="0" collapsed="false">
      <c r="B11" s="5" t="s">
        <v>7</v>
      </c>
    </row>
    <row r="13" customFormat="false" ht="14.25" hidden="false" customHeight="true" outlineLevel="0" collapsed="false">
      <c r="B13" s="4" t="s">
        <v>8</v>
      </c>
    </row>
    <row r="14" customFormat="false" ht="26.25" hidden="false" customHeight="true" outlineLevel="0" collapsed="false">
      <c r="B14" s="5" t="s">
        <v>9</v>
      </c>
    </row>
    <row r="15" customFormat="false" ht="39" hidden="false" customHeight="true" outlineLevel="0" collapsed="false">
      <c r="B15" s="5" t="s">
        <v>10</v>
      </c>
    </row>
    <row r="16" customFormat="false" ht="26.25" hidden="false" customHeight="true" outlineLevel="0" collapsed="false">
      <c r="B16" s="5" t="s">
        <v>11</v>
      </c>
    </row>
    <row r="17" customFormat="false" ht="26.25" hidden="false" customHeight="true" outlineLevel="0" collapsed="false">
      <c r="B17" s="5" t="s">
        <v>12</v>
      </c>
    </row>
    <row r="18" customFormat="false" ht="39" hidden="false" customHeight="true" outlineLevel="0" collapsed="false">
      <c r="B18" s="5" t="s">
        <v>13</v>
      </c>
    </row>
    <row r="19" customFormat="false" ht="52.5" hidden="false" customHeight="true" outlineLevel="0" collapsed="false">
      <c r="B19" s="5" t="s">
        <v>14</v>
      </c>
    </row>
    <row r="20" customFormat="false" ht="39" hidden="false" customHeight="true" outlineLevel="0" collapsed="false">
      <c r="B20" s="5" t="s">
        <v>15</v>
      </c>
    </row>
    <row r="21" customFormat="false" ht="39" hidden="false" customHeight="true" outlineLevel="0" collapsed="false">
      <c r="B21" s="5" t="s">
        <v>16</v>
      </c>
    </row>
    <row r="23" customFormat="false" ht="14.25" hidden="false" customHeight="true" outlineLevel="0" collapsed="false">
      <c r="B23" s="4" t="s">
        <v>17</v>
      </c>
    </row>
    <row r="24" customFormat="false" ht="14.25" hidden="false" customHeight="true" outlineLevel="0" collapsed="false">
      <c r="B24" s="5" t="s">
        <v>18</v>
      </c>
    </row>
    <row r="25" customFormat="false" ht="26.25" hidden="false" customHeight="true" outlineLevel="0" collapsed="false">
      <c r="B25" s="5" t="s">
        <v>19</v>
      </c>
    </row>
    <row r="26" customFormat="false" ht="26.25" hidden="false" customHeight="true" outlineLevel="0" collapsed="false">
      <c r="B26" s="5" t="s">
        <v>20</v>
      </c>
    </row>
    <row r="27" customFormat="false" ht="26.25" hidden="false" customHeight="true" outlineLevel="0" collapsed="false">
      <c r="B27" s="5" t="s">
        <v>21</v>
      </c>
    </row>
    <row r="29" customFormat="false" ht="14.25" hidden="false" customHeight="true" outlineLevel="0" collapsed="false">
      <c r="B29" s="6" t="s">
        <v>22</v>
      </c>
    </row>
    <row r="30" customFormat="false" ht="39" hidden="false" customHeight="true" outlineLevel="0" collapsed="false">
      <c r="B30" s="5" t="s">
        <v>23</v>
      </c>
    </row>
    <row r="31" customFormat="false" ht="26.25" hidden="false" customHeight="true" outlineLevel="0" collapsed="false">
      <c r="B31" s="5" t="s">
        <v>24</v>
      </c>
    </row>
    <row r="32" customFormat="false" ht="52.5" hidden="false" customHeight="true" outlineLevel="0" collapsed="false">
      <c r="B32" s="5" t="s">
        <v>25</v>
      </c>
    </row>
    <row r="34" customFormat="false" ht="14.25" hidden="false" customHeight="true" outlineLevel="0" collapsed="false">
      <c r="B34" s="4" t="s">
        <v>26</v>
      </c>
    </row>
    <row r="35" customFormat="false" ht="26.25" hidden="false" customHeight="true" outlineLevel="0" collapsed="false">
      <c r="B35" s="5" t="s">
        <v>27</v>
      </c>
    </row>
    <row r="36" customFormat="false" ht="26.25" hidden="false" customHeight="true" outlineLevel="0" collapsed="false">
      <c r="B36" s="5" t="s">
        <v>28</v>
      </c>
    </row>
    <row r="37" customFormat="false" ht="26.25" hidden="false" customHeight="true" outlineLevel="0" collapsed="false">
      <c r="B37" s="5" t="s">
        <v>29</v>
      </c>
    </row>
    <row r="38" customFormat="false" ht="26.25" hidden="false" customHeight="true" outlineLevel="0" collapsed="false">
      <c r="B38" s="5" t="s">
        <v>30</v>
      </c>
    </row>
    <row r="39" customFormat="false" ht="14.25" hidden="false" customHeight="true" outlineLevel="0" collapsed="false">
      <c r="B39" s="5" t="s">
        <v>31</v>
      </c>
    </row>
    <row r="41" customFormat="false" ht="14.25" hidden="false" customHeight="true" outlineLevel="0" collapsed="false">
      <c r="B41" s="4" t="s">
        <v>32</v>
      </c>
    </row>
    <row r="42" customFormat="false" ht="26.25" hidden="false" customHeight="true" outlineLevel="0" collapsed="false">
      <c r="B42" s="5" t="s">
        <v>33</v>
      </c>
    </row>
    <row r="43" customFormat="false" ht="26.25" hidden="false" customHeight="true" outlineLevel="0" collapsed="false">
      <c r="B43" s="5" t="s">
        <v>34</v>
      </c>
    </row>
    <row r="45" customFormat="false" ht="14.25" hidden="false" customHeight="true" outlineLevel="0" collapsed="false">
      <c r="B45" s="7" t="s">
        <v>35</v>
      </c>
    </row>
    <row r="46" customFormat="false" ht="26.25" hidden="false" customHeight="true" outlineLevel="0" collapsed="false">
      <c r="B46" s="8" t="s">
        <v>36</v>
      </c>
    </row>
    <row r="47" customFormat="false" ht="26.25" hidden="false" customHeight="true" outlineLevel="0" collapsed="false">
      <c r="B47" s="8" t="s">
        <v>37</v>
      </c>
    </row>
    <row r="48" customFormat="false" ht="26.25" hidden="false" customHeight="true" outlineLevel="0" collapsed="false">
      <c r="B48" s="8" t="s">
        <v>38</v>
      </c>
    </row>
    <row r="49" customFormat="false" ht="26.25" hidden="false" customHeight="true" outlineLevel="0" collapsed="false">
      <c r="B49" s="8" t="s">
        <v>39</v>
      </c>
    </row>
    <row r="50" customFormat="false" ht="26.25" hidden="false" customHeight="true" outlineLevel="0" collapsed="false">
      <c r="B50" s="8" t="s">
        <v>40</v>
      </c>
    </row>
    <row r="51" customFormat="false" ht="26.25" hidden="false" customHeight="true" outlineLevel="0" collapsed="false">
      <c r="B51" s="8" t="s">
        <v>41</v>
      </c>
    </row>
    <row r="53" customFormat="false" ht="14.25" hidden="false" customHeight="true" outlineLevel="0" collapsed="false">
      <c r="B53" s="7" t="s">
        <v>42</v>
      </c>
    </row>
    <row r="54" customFormat="false" ht="26.25" hidden="false" customHeight="true" outlineLevel="0" collapsed="false">
      <c r="B54" s="8" t="s">
        <v>43</v>
      </c>
    </row>
    <row r="55" customFormat="false" ht="26.25" hidden="false" customHeight="true" outlineLevel="0" collapsed="false">
      <c r="B55" s="8" t="s">
        <v>44</v>
      </c>
    </row>
    <row r="56" customFormat="false" ht="64.5" hidden="false" customHeight="true" outlineLevel="0" collapsed="false">
      <c r="B56" s="8" t="s">
        <v>45</v>
      </c>
    </row>
    <row r="57" customFormat="false" ht="26.25" hidden="false" customHeight="true" outlineLevel="0" collapsed="false">
      <c r="B57" s="8" t="s">
        <v>46</v>
      </c>
    </row>
    <row r="59" customFormat="false" ht="14.25" hidden="false" customHeight="true" outlineLevel="0" collapsed="false">
      <c r="B59" s="7" t="s">
        <v>47</v>
      </c>
    </row>
    <row r="60" customFormat="false" ht="39" hidden="false" customHeight="true" outlineLevel="0" collapsed="false">
      <c r="B60" s="8" t="s">
        <v>48</v>
      </c>
    </row>
    <row r="61" customFormat="false" ht="39" hidden="false" customHeight="true" outlineLevel="0" collapsed="false">
      <c r="B61" s="8" t="s">
        <v>49</v>
      </c>
    </row>
    <row r="62" customFormat="false" ht="26.25" hidden="false" customHeight="true" outlineLevel="0" collapsed="false">
      <c r="B62" s="8" t="s">
        <v>50</v>
      </c>
    </row>
    <row r="63" customFormat="false" ht="26.25" hidden="false" customHeight="true" outlineLevel="0" collapsed="false">
      <c r="B63" s="8" t="s">
        <v>51</v>
      </c>
    </row>
    <row r="64" customFormat="false" ht="39" hidden="false" customHeight="true" outlineLevel="0" collapsed="false">
      <c r="B64" s="8" t="s">
        <v>52</v>
      </c>
    </row>
    <row r="65" customFormat="false" ht="26.25" hidden="false" customHeight="true" outlineLevel="0" collapsed="false">
      <c r="B65" s="8" t="s">
        <v>53</v>
      </c>
    </row>
    <row r="66" customFormat="false" ht="39" hidden="false" customHeight="true" outlineLevel="0" collapsed="false">
      <c r="B66" s="8" t="s">
        <v>54</v>
      </c>
    </row>
    <row r="67" customFormat="false" ht="39" hidden="false" customHeight="true" outlineLevel="0" collapsed="false">
      <c r="B67" s="8" t="s">
        <v>55</v>
      </c>
    </row>
    <row r="68" customFormat="false" ht="26.85" hidden="false" customHeight="false" outlineLevel="0" collapsed="false">
      <c r="B68" s="8" t="s">
        <v>56</v>
      </c>
    </row>
    <row r="69" customFormat="false" ht="26.85" hidden="false" customHeight="false" outlineLevel="0" collapsed="false">
      <c r="B69" s="8" t="s">
        <v>57</v>
      </c>
    </row>
    <row r="70" customFormat="false" ht="26.85" hidden="false" customHeight="false" outlineLevel="0" collapsed="false">
      <c r="B70" s="8" t="s">
        <v>58</v>
      </c>
    </row>
    <row r="71" customFormat="false" ht="26.85" hidden="false" customHeight="false" outlineLevel="0" collapsed="false">
      <c r="B71" s="8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3" min="3" style="1" width="14"/>
    <col collapsed="false" customWidth="true" hidden="false" outlineLevel="0" max="4" min="4" style="1" width="78"/>
  </cols>
  <sheetData>
    <row r="2" customFormat="false" ht="17.25" hidden="false" customHeight="true" outlineLevel="0" collapsed="false">
      <c r="B2" s="9" t="s">
        <v>60</v>
      </c>
    </row>
    <row r="4" customFormat="false" ht="14.25" hidden="false" customHeight="true" outlineLevel="0" collapsed="false">
      <c r="B4" s="10" t="s">
        <v>61</v>
      </c>
      <c r="C4" s="10" t="s">
        <v>62</v>
      </c>
      <c r="D4" s="10" t="s">
        <v>63</v>
      </c>
    </row>
    <row r="5" customFormat="false" ht="14.25" hidden="false" customHeight="true" outlineLevel="0" collapsed="false">
      <c r="B5" s="11" t="s">
        <v>64</v>
      </c>
      <c r="C5" s="12"/>
      <c r="D5" s="12"/>
    </row>
    <row r="6" customFormat="false" ht="14.25" hidden="false" customHeight="true" outlineLevel="0" collapsed="false">
      <c r="B6" s="13" t="s">
        <v>65</v>
      </c>
      <c r="C6" s="14" t="n">
        <v>2024</v>
      </c>
      <c r="D6" s="15" t="s">
        <v>66</v>
      </c>
    </row>
    <row r="7" customFormat="false" ht="14.25" hidden="false" customHeight="true" outlineLevel="0" collapsed="false">
      <c r="B7" s="11" t="s">
        <v>67</v>
      </c>
      <c r="C7" s="12"/>
      <c r="D7" s="12"/>
    </row>
    <row r="8" customFormat="false" ht="14.25" hidden="false" customHeight="true" outlineLevel="0" collapsed="false">
      <c r="B8" s="13" t="s">
        <v>68</v>
      </c>
      <c r="C8" s="16" t="n">
        <v>5.165</v>
      </c>
      <c r="D8" s="15" t="s">
        <v>69</v>
      </c>
    </row>
    <row r="9" customFormat="false" ht="14.25" hidden="false" customHeight="true" outlineLevel="0" collapsed="false">
      <c r="B9" s="13" t="s">
        <v>70</v>
      </c>
      <c r="C9" s="16" t="n">
        <v>4.995</v>
      </c>
      <c r="D9" s="15" t="s">
        <v>71</v>
      </c>
    </row>
    <row r="10" customFormat="false" ht="14.25" hidden="false" customHeight="true" outlineLevel="0" collapsed="false">
      <c r="B10" s="13" t="s">
        <v>72</v>
      </c>
      <c r="C10" s="16" t="n">
        <v>5.392</v>
      </c>
      <c r="D10" s="15" t="s">
        <v>71</v>
      </c>
    </row>
    <row r="11" customFormat="false" ht="14.25" hidden="false" customHeight="true" outlineLevel="0" collapsed="false">
      <c r="B11" s="11" t="s">
        <v>73</v>
      </c>
      <c r="C11" s="12"/>
      <c r="D11" s="12"/>
    </row>
    <row r="12" customFormat="false" ht="14.25" hidden="false" customHeight="true" outlineLevel="0" collapsed="false">
      <c r="B12" s="13" t="s">
        <v>74</v>
      </c>
      <c r="C12" s="17" t="n">
        <v>8500</v>
      </c>
      <c r="D12" s="15" t="s">
        <v>75</v>
      </c>
    </row>
    <row r="13" customFormat="false" ht="22.5" hidden="false" customHeight="true" outlineLevel="0" collapsed="false">
      <c r="B13" s="13" t="s">
        <v>76</v>
      </c>
      <c r="C13" s="17" t="n">
        <v>9400</v>
      </c>
      <c r="D13" s="15" t="s">
        <v>77</v>
      </c>
    </row>
    <row r="14" customFormat="false" ht="14.25" hidden="false" customHeight="true" outlineLevel="0" collapsed="false">
      <c r="B14" s="13" t="s">
        <v>78</v>
      </c>
      <c r="C14" s="18" t="n">
        <v>4.1868E-006</v>
      </c>
      <c r="D14" s="15" t="s">
        <v>79</v>
      </c>
    </row>
    <row r="15" customFormat="false" ht="14.25" hidden="false" customHeight="true" outlineLevel="0" collapsed="false">
      <c r="B15" s="13" t="s">
        <v>80</v>
      </c>
      <c r="C15" s="19" t="n">
        <f aca="false">C12*C14</f>
        <v>0.0355878</v>
      </c>
      <c r="D15" s="15" t="s">
        <v>81</v>
      </c>
    </row>
    <row r="16" customFormat="false" ht="14.25" hidden="false" customHeight="true" outlineLevel="0" collapsed="false">
      <c r="B16" s="11" t="s">
        <v>82</v>
      </c>
      <c r="C16" s="12"/>
      <c r="D16" s="12"/>
    </row>
    <row r="17" customFormat="false" ht="14.25" hidden="false" customHeight="true" outlineLevel="0" collapsed="false">
      <c r="B17" s="13" t="s">
        <v>83</v>
      </c>
      <c r="C17" s="20" t="n">
        <v>50000</v>
      </c>
      <c r="D17" s="15" t="s">
        <v>84</v>
      </c>
    </row>
    <row r="18" customFormat="false" ht="14.25" hidden="false" customHeight="true" outlineLevel="0" collapsed="false">
      <c r="B18" s="11" t="s">
        <v>85</v>
      </c>
      <c r="C18" s="12"/>
      <c r="D18" s="12"/>
    </row>
    <row r="19" customFormat="false" ht="33.75" hidden="false" customHeight="true" outlineLevel="0" collapsed="false">
      <c r="B19" s="13" t="s">
        <v>86</v>
      </c>
      <c r="C19" s="17" t="s">
        <v>87</v>
      </c>
      <c r="D19" s="15" t="s">
        <v>88</v>
      </c>
    </row>
    <row r="20" customFormat="false" ht="14.25" hidden="false" customHeight="true" outlineLevel="0" collapsed="false">
      <c r="B20" s="11" t="s">
        <v>89</v>
      </c>
      <c r="C20" s="12"/>
      <c r="D20" s="12"/>
    </row>
    <row r="21" customFormat="false" ht="14.25" hidden="false" customHeight="true" outlineLevel="0" collapsed="false">
      <c r="B21" s="13" t="s">
        <v>90</v>
      </c>
      <c r="C21" s="21" t="n">
        <v>3.6</v>
      </c>
      <c r="D21" s="15" t="s">
        <v>91</v>
      </c>
    </row>
    <row r="22" customFormat="false" ht="14.25" hidden="false" customHeight="true" outlineLevel="0" collapsed="false">
      <c r="B22" s="11" t="s">
        <v>92</v>
      </c>
      <c r="C22" s="12"/>
      <c r="D22" s="12"/>
    </row>
    <row r="23" customFormat="false" ht="14.25" hidden="false" customHeight="true" outlineLevel="0" collapsed="false">
      <c r="B23" s="1" t="s">
        <v>93</v>
      </c>
      <c r="C23" s="22" t="n">
        <f aca="false">IF(C6=2022,C8,IF(C6=2023,C9,IF(C6=2024,C10,AVERAGE(C8:C10))))</f>
        <v>5.392</v>
      </c>
      <c r="D23" s="23" t="s">
        <v>94</v>
      </c>
    </row>
    <row r="25" customFormat="false" ht="14.25" hidden="false" customHeight="true" outlineLevel="0" collapsed="false">
      <c r="B25" s="11" t="s">
        <v>95</v>
      </c>
      <c r="C25" s="12"/>
      <c r="D25" s="12"/>
    </row>
    <row r="26" customFormat="false" ht="22.5" hidden="false" customHeight="true" outlineLevel="0" collapsed="false">
      <c r="B26" s="13" t="s">
        <v>96</v>
      </c>
      <c r="C26" s="24" t="n">
        <v>0.18</v>
      </c>
      <c r="D26" s="15" t="s">
        <v>97</v>
      </c>
    </row>
    <row r="27" customFormat="false" ht="14.25" hidden="false" customHeight="true" outlineLevel="0" collapsed="false">
      <c r="B27" s="13" t="s">
        <v>98</v>
      </c>
      <c r="C27" s="24" t="n">
        <v>0.05</v>
      </c>
      <c r="D27" s="15" t="s">
        <v>99</v>
      </c>
    </row>
    <row r="28" customFormat="false" ht="14.25" hidden="false" customHeight="true" outlineLevel="0" collapsed="false">
      <c r="B28" s="13" t="s">
        <v>100</v>
      </c>
      <c r="C28" s="17" t="s">
        <v>101</v>
      </c>
      <c r="D28" s="15" t="s">
        <v>102</v>
      </c>
    </row>
    <row r="29" customFormat="false" ht="14.25" hidden="false" customHeight="true" outlineLevel="0" collapsed="false">
      <c r="B29" s="13" t="s">
        <v>103</v>
      </c>
      <c r="C29" s="25" t="n">
        <v>0.9</v>
      </c>
      <c r="D29" s="15" t="s">
        <v>104</v>
      </c>
    </row>
    <row r="31" customFormat="false" ht="14.25" hidden="false" customHeight="true" outlineLevel="0" collapsed="false">
      <c r="B31" s="26" t="s">
        <v>105</v>
      </c>
    </row>
    <row r="33" customFormat="false" ht="14.25" hidden="false" customHeight="true" outlineLevel="0" collapsed="false">
      <c r="B33" s="7" t="s">
        <v>106</v>
      </c>
      <c r="C33" s="12"/>
    </row>
    <row r="34" customFormat="false" ht="14.25" hidden="false" customHeight="true" outlineLevel="0" collapsed="false">
      <c r="B34" s="27" t="s">
        <v>107</v>
      </c>
      <c r="C34" s="28" t="n">
        <v>7400</v>
      </c>
      <c r="D34" s="29" t="s">
        <v>108</v>
      </c>
    </row>
    <row r="35" customFormat="false" ht="14.25" hidden="false" customHeight="true" outlineLevel="0" collapsed="false">
      <c r="B35" s="27" t="s">
        <v>109</v>
      </c>
      <c r="C35" s="30" t="n">
        <f aca="false">C34*C14*1000</f>
        <v>30.98232</v>
      </c>
    </row>
    <row r="36" customFormat="false" ht="14.25" hidden="false" customHeight="true" outlineLevel="0" collapsed="false">
      <c r="B36" s="27" t="s">
        <v>110</v>
      </c>
      <c r="C36" s="28" t="s">
        <v>111</v>
      </c>
      <c r="D36" s="29" t="s">
        <v>112</v>
      </c>
    </row>
    <row r="38" customFormat="false" ht="14.25" hidden="false" customHeight="true" outlineLevel="0" collapsed="false">
      <c r="B38" s="7" t="s">
        <v>113</v>
      </c>
      <c r="C38" s="12"/>
    </row>
    <row r="39" customFormat="false" ht="14.25" hidden="false" customHeight="true" outlineLevel="0" collapsed="false">
      <c r="B39" s="27" t="s">
        <v>114</v>
      </c>
      <c r="C39" s="28" t="n">
        <v>22</v>
      </c>
      <c r="D39" s="29" t="s">
        <v>115</v>
      </c>
    </row>
    <row r="41" customFormat="false" ht="14.25" hidden="false" customHeight="true" outlineLevel="0" collapsed="false">
      <c r="B41" s="7" t="s">
        <v>116</v>
      </c>
      <c r="C41" s="12"/>
    </row>
    <row r="42" customFormat="false" ht="14.25" hidden="false" customHeight="true" outlineLevel="0" collapsed="false">
      <c r="B42" s="27" t="s">
        <v>114</v>
      </c>
      <c r="C42" s="31" t="n">
        <v>41.6</v>
      </c>
      <c r="D42" s="29" t="s">
        <v>117</v>
      </c>
    </row>
    <row r="43" customFormat="false" ht="14.25" hidden="false" customHeight="true" outlineLevel="0" collapsed="false">
      <c r="B43" s="27" t="s">
        <v>118</v>
      </c>
      <c r="C43" s="32" t="n">
        <v>0.72</v>
      </c>
      <c r="D43" s="29" t="s">
        <v>119</v>
      </c>
    </row>
    <row r="44" customFormat="false" ht="14.25" hidden="false" customHeight="true" outlineLevel="0" collapsed="false">
      <c r="B44" s="29" t="s">
        <v>120</v>
      </c>
    </row>
    <row r="46" customFormat="false" ht="14.25" hidden="false" customHeight="true" outlineLevel="0" collapsed="false">
      <c r="B46" s="7" t="s">
        <v>121</v>
      </c>
      <c r="C46" s="12"/>
    </row>
    <row r="47" customFormat="false" ht="14.25" hidden="false" customHeight="true" outlineLevel="0" collapsed="false">
      <c r="B47" s="27" t="s">
        <v>122</v>
      </c>
      <c r="C47" s="32" t="n">
        <v>1.6</v>
      </c>
      <c r="D47" s="29" t="s">
        <v>123</v>
      </c>
    </row>
    <row r="48" customFormat="false" ht="14.25" hidden="false" customHeight="true" outlineLevel="0" collapsed="false">
      <c r="B48" s="27" t="s">
        <v>124</v>
      </c>
      <c r="C48" s="32" t="n">
        <v>1.45</v>
      </c>
      <c r="D48" s="29" t="s">
        <v>125</v>
      </c>
    </row>
    <row r="49" customFormat="false" ht="14.25" hidden="false" customHeight="true" outlineLevel="0" collapsed="false">
      <c r="B49" s="27" t="s">
        <v>126</v>
      </c>
      <c r="C49" s="32" t="n">
        <v>16.12</v>
      </c>
      <c r="D49" s="29" t="s">
        <v>127</v>
      </c>
    </row>
    <row r="50" customFormat="false" ht="14.25" hidden="false" customHeight="true" outlineLevel="0" collapsed="false">
      <c r="B50" s="29" t="s">
        <v>128</v>
      </c>
    </row>
    <row r="51" customFormat="false" ht="14.25" hidden="false" customHeight="false" outlineLevel="0" collapsed="false">
      <c r="B51" s="33" t="s">
        <v>129</v>
      </c>
      <c r="C51" s="34" t="s">
        <v>130</v>
      </c>
      <c r="D51" s="35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Q10" activeCellId="0" sqref="Q10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9"/>
    <col collapsed="false" customWidth="true" hidden="false" outlineLevel="0" max="3" min="3" style="1" width="7"/>
    <col collapsed="false" customWidth="true" hidden="false" outlineLevel="0" max="4" min="4" style="1" width="15"/>
    <col collapsed="false" customWidth="true" hidden="false" outlineLevel="0" max="13" min="5" style="1" width="11"/>
    <col collapsed="false" customWidth="true" hidden="false" outlineLevel="0" max="14" min="14" style="1" width="13"/>
    <col collapsed="false" customWidth="true" hidden="false" outlineLevel="0" max="15" min="15" style="1" width="15"/>
  </cols>
  <sheetData>
    <row r="1" customFormat="false" ht="17.25" hidden="false" customHeight="true" outlineLevel="0" collapsed="false">
      <c r="A1" s="9" t="s">
        <v>132</v>
      </c>
    </row>
    <row r="2" customFormat="false" ht="14.25" hidden="false" customHeight="true" outlineLevel="0" collapsed="false">
      <c r="A2" s="26" t="s">
        <v>133</v>
      </c>
    </row>
    <row r="4" customFormat="false" ht="26.25" hidden="false" customHeight="true" outlineLevel="0" collapsed="false">
      <c r="A4" s="36" t="s">
        <v>134</v>
      </c>
      <c r="B4" s="36" t="s">
        <v>135</v>
      </c>
      <c r="C4" s="36" t="s">
        <v>136</v>
      </c>
      <c r="D4" s="36" t="s">
        <v>137</v>
      </c>
      <c r="E4" s="36" t="s">
        <v>138</v>
      </c>
      <c r="F4" s="36" t="s">
        <v>139</v>
      </c>
      <c r="G4" s="36" t="s">
        <v>140</v>
      </c>
      <c r="H4" s="36" t="s">
        <v>141</v>
      </c>
      <c r="I4" s="36" t="s">
        <v>142</v>
      </c>
      <c r="J4" s="36" t="s">
        <v>143</v>
      </c>
      <c r="K4" s="36" t="s">
        <v>144</v>
      </c>
      <c r="L4" s="36" t="s">
        <v>145</v>
      </c>
      <c r="M4" s="36" t="s">
        <v>146</v>
      </c>
      <c r="N4" s="36" t="s">
        <v>147</v>
      </c>
      <c r="O4" s="36" t="s">
        <v>148</v>
      </c>
    </row>
    <row r="5" customFormat="false" ht="14.25" hidden="false" customHeight="true" outlineLevel="0" collapsed="false">
      <c r="A5" s="13" t="s">
        <v>149</v>
      </c>
      <c r="B5" s="17" t="s">
        <v>150</v>
      </c>
      <c r="C5" s="17" t="n">
        <v>0</v>
      </c>
      <c r="D5" s="23" t="s">
        <v>151</v>
      </c>
      <c r="E5" s="37" t="n">
        <v>84.56</v>
      </c>
      <c r="F5" s="37" t="n">
        <v>201.63</v>
      </c>
      <c r="G5" s="38" t="n">
        <f aca="false">E5+F5</f>
        <v>286.19</v>
      </c>
      <c r="H5" s="37" t="n">
        <v>90.49</v>
      </c>
      <c r="I5" s="37" t="n">
        <v>233.17</v>
      </c>
      <c r="J5" s="38" t="n">
        <f aca="false">H5+I5</f>
        <v>323.66</v>
      </c>
      <c r="K5" s="37" t="n">
        <v>95.2</v>
      </c>
      <c r="L5" s="37" t="n">
        <v>274.63</v>
      </c>
      <c r="M5" s="38" t="n">
        <f aca="false">K5+L5</f>
        <v>369.83</v>
      </c>
      <c r="N5" s="38" t="n">
        <f aca="false">IF(Premissas!$C$6=2022,G5,IF(Premissas!$C$6=2023,J5,IF(Premissas!$C$6=2024,M5,AVERAGE(G5,J5,M5))))</f>
        <v>369.83</v>
      </c>
      <c r="O5" s="37" t="n">
        <v>27.79</v>
      </c>
    </row>
    <row r="6" customFormat="false" ht="14.25" hidden="false" customHeight="true" outlineLevel="0" collapsed="false">
      <c r="A6" s="13" t="s">
        <v>152</v>
      </c>
      <c r="B6" s="17" t="s">
        <v>153</v>
      </c>
      <c r="C6" s="17" t="n">
        <v>1</v>
      </c>
      <c r="D6" s="23" t="s">
        <v>154</v>
      </c>
      <c r="E6" s="37" t="n">
        <v>181.48</v>
      </c>
      <c r="F6" s="37" t="n">
        <v>215.6</v>
      </c>
      <c r="G6" s="38" t="n">
        <f aca="false">E6+F6</f>
        <v>397.08</v>
      </c>
      <c r="H6" s="37" t="n">
        <v>181.48</v>
      </c>
      <c r="I6" s="37" t="n">
        <v>215.6</v>
      </c>
      <c r="J6" s="38" t="n">
        <f aca="false">H6+I6</f>
        <v>397.08</v>
      </c>
      <c r="K6" s="37" t="n">
        <v>193.63</v>
      </c>
      <c r="L6" s="37" t="n">
        <v>193.81</v>
      </c>
      <c r="M6" s="38" t="n">
        <f aca="false">K6+L6</f>
        <v>387.44</v>
      </c>
      <c r="N6" s="38" t="n">
        <f aca="false">IF(Premissas!$C$6=2022,G6,IF(Premissas!$C$6=2023,J6,IF(Premissas!$C$6=2024,M6,AVERAGE(G6,J6,M6))))</f>
        <v>387.44</v>
      </c>
      <c r="O6" s="37" t="n">
        <v>33.76</v>
      </c>
    </row>
    <row r="7" customFormat="false" ht="14.25" hidden="false" customHeight="true" outlineLevel="0" collapsed="false">
      <c r="A7" s="13" t="s">
        <v>155</v>
      </c>
      <c r="B7" s="17" t="s">
        <v>156</v>
      </c>
      <c r="C7" s="17" t="n">
        <v>0</v>
      </c>
      <c r="D7" s="23" t="s">
        <v>157</v>
      </c>
      <c r="E7" s="37" t="n">
        <v>98.98</v>
      </c>
      <c r="F7" s="37" t="n">
        <v>266.47</v>
      </c>
      <c r="G7" s="38" t="n">
        <f aca="false">E7+F7</f>
        <v>365.45</v>
      </c>
      <c r="H7" s="37" t="n">
        <v>84.74</v>
      </c>
      <c r="I7" s="37" t="n">
        <v>280.82</v>
      </c>
      <c r="J7" s="38" t="n">
        <f aca="false">H7+I7</f>
        <v>365.56</v>
      </c>
      <c r="K7" s="37" t="n">
        <v>95.85</v>
      </c>
      <c r="L7" s="37" t="n">
        <v>200.37</v>
      </c>
      <c r="M7" s="38" t="n">
        <f aca="false">K7+L7</f>
        <v>296.22</v>
      </c>
      <c r="N7" s="38" t="n">
        <f aca="false">IF(Premissas!$C$6=2022,G7,IF(Premissas!$C$6=2023,J7,IF(Premissas!$C$6=2024,M7,AVERAGE(G7,J7,M7))))</f>
        <v>296.22</v>
      </c>
      <c r="O7" s="37" t="n">
        <v>37.77</v>
      </c>
    </row>
    <row r="8" customFormat="false" ht="14.25" hidden="false" customHeight="true" outlineLevel="0" collapsed="false">
      <c r="A8" s="13" t="s">
        <v>158</v>
      </c>
      <c r="B8" s="17" t="s">
        <v>156</v>
      </c>
      <c r="C8" s="17" t="n">
        <v>0</v>
      </c>
      <c r="D8" s="23" t="s">
        <v>157</v>
      </c>
      <c r="E8" s="37" t="n">
        <v>126.58</v>
      </c>
      <c r="F8" s="37" t="n">
        <v>269.21</v>
      </c>
      <c r="G8" s="38" t="n">
        <f aca="false">E8+F8</f>
        <v>395.79</v>
      </c>
      <c r="H8" s="37" t="n">
        <v>97.29</v>
      </c>
      <c r="I8" s="37" t="n">
        <v>429.57</v>
      </c>
      <c r="J8" s="38" t="n">
        <f aca="false">H8+I8</f>
        <v>526.86</v>
      </c>
      <c r="K8" s="37" t="n">
        <v>97.9</v>
      </c>
      <c r="L8" s="37" t="n">
        <v>318.75</v>
      </c>
      <c r="M8" s="38" t="n">
        <f aca="false">K8+L8</f>
        <v>416.65</v>
      </c>
      <c r="N8" s="38" t="n">
        <f aca="false">IF(Premissas!$C$6=2022,G8,IF(Premissas!$C$6=2023,J8,IF(Premissas!$C$6=2024,M8,AVERAGE(G8,J8,M8))))</f>
        <v>416.65</v>
      </c>
      <c r="O8" s="37" t="n">
        <v>35.7</v>
      </c>
    </row>
    <row r="9" customFormat="false" ht="14.25" hidden="false" customHeight="true" outlineLevel="0" collapsed="false">
      <c r="A9" s="13" t="s">
        <v>159</v>
      </c>
      <c r="B9" s="17" t="s">
        <v>160</v>
      </c>
      <c r="C9" s="17" t="n">
        <v>1</v>
      </c>
      <c r="D9" s="23" t="s">
        <v>154</v>
      </c>
      <c r="E9" s="37" t="n">
        <v>137.58</v>
      </c>
      <c r="F9" s="37" t="n">
        <v>266.09</v>
      </c>
      <c r="G9" s="38" t="n">
        <f aca="false">E9+F9</f>
        <v>403.67</v>
      </c>
      <c r="H9" s="37" t="n">
        <v>94.16</v>
      </c>
      <c r="I9" s="37" t="n">
        <v>264.74</v>
      </c>
      <c r="J9" s="38" t="n">
        <f aca="false">H9+I9</f>
        <v>358.9</v>
      </c>
      <c r="K9" s="37" t="n">
        <v>124.73</v>
      </c>
      <c r="L9" s="37" t="n">
        <v>239.05</v>
      </c>
      <c r="M9" s="38" t="n">
        <f aca="false">K9+L9</f>
        <v>363.78</v>
      </c>
      <c r="N9" s="38" t="n">
        <f aca="false">IF(Premissas!$C$6=2022,G9,IF(Premissas!$C$6=2023,J9,IF(Premissas!$C$6=2024,M9,AVERAGE(G9,J9,M9))))</f>
        <v>363.78</v>
      </c>
      <c r="O9" s="37" t="n">
        <v>31.81</v>
      </c>
    </row>
    <row r="10" customFormat="false" ht="14.25" hidden="false" customHeight="true" outlineLevel="0" collapsed="false">
      <c r="A10" s="13" t="s">
        <v>161</v>
      </c>
      <c r="B10" s="17" t="s">
        <v>156</v>
      </c>
      <c r="C10" s="17" t="n">
        <v>0</v>
      </c>
      <c r="D10" s="23" t="s">
        <v>157</v>
      </c>
      <c r="E10" s="37" t="n">
        <v>105.41</v>
      </c>
      <c r="F10" s="37" t="n">
        <v>194.01</v>
      </c>
      <c r="G10" s="38" t="n">
        <f aca="false">E10+F10</f>
        <v>299.42</v>
      </c>
      <c r="H10" s="37" t="n">
        <v>109.7</v>
      </c>
      <c r="I10" s="37" t="n">
        <v>200.1</v>
      </c>
      <c r="J10" s="38" t="n">
        <f aca="false">H10+I10</f>
        <v>309.8</v>
      </c>
      <c r="K10" s="37" t="n">
        <v>100.87</v>
      </c>
      <c r="L10" s="37" t="n">
        <v>222</v>
      </c>
      <c r="M10" s="38" t="n">
        <f aca="false">K10+L10</f>
        <v>322.87</v>
      </c>
      <c r="N10" s="38" t="n">
        <f aca="false">IF(Premissas!$C$6=2022,G10,IF(Premissas!$C$6=2023,J10,IF(Premissas!$C$6=2024,M10,AVERAGE(G10,J10,M10))))</f>
        <v>322.87</v>
      </c>
      <c r="O10" s="37" t="n">
        <v>16.59</v>
      </c>
    </row>
    <row r="11" customFormat="false" ht="14.25" hidden="false" customHeight="true" outlineLevel="0" collapsed="false">
      <c r="A11" s="13" t="s">
        <v>162</v>
      </c>
      <c r="B11" s="17" t="s">
        <v>156</v>
      </c>
      <c r="C11" s="17" t="n">
        <v>0</v>
      </c>
      <c r="D11" s="23" t="s">
        <v>157</v>
      </c>
      <c r="E11" s="37" t="n">
        <v>88.7</v>
      </c>
      <c r="F11" s="37" t="n">
        <v>191.01</v>
      </c>
      <c r="G11" s="38" t="n">
        <f aca="false">E11+F11</f>
        <v>279.71</v>
      </c>
      <c r="H11" s="37" t="n">
        <v>82.41</v>
      </c>
      <c r="I11" s="37" t="n">
        <v>192.22</v>
      </c>
      <c r="J11" s="38" t="n">
        <f aca="false">H11+I11</f>
        <v>274.63</v>
      </c>
      <c r="K11" s="37" t="n">
        <v>94.71</v>
      </c>
      <c r="L11" s="37" t="n">
        <v>212.61</v>
      </c>
      <c r="M11" s="38" t="n">
        <f aca="false">K11+L11</f>
        <v>307.32</v>
      </c>
      <c r="N11" s="38" t="n">
        <f aca="false">IF(Premissas!$C$6=2022,G11,IF(Premissas!$C$6=2023,J11,IF(Premissas!$C$6=2024,M11,AVERAGE(G11,J11,M11))))</f>
        <v>307.32</v>
      </c>
      <c r="O11" s="37" t="n">
        <v>35.83</v>
      </c>
    </row>
    <row r="12" customFormat="false" ht="14.25" hidden="false" customHeight="true" outlineLevel="0" collapsed="false">
      <c r="A12" s="13" t="s">
        <v>163</v>
      </c>
      <c r="B12" s="17" t="s">
        <v>164</v>
      </c>
      <c r="C12" s="17" t="n">
        <v>1</v>
      </c>
      <c r="D12" s="23" t="s">
        <v>154</v>
      </c>
      <c r="E12" s="37" t="n">
        <v>126.25</v>
      </c>
      <c r="F12" s="37" t="n">
        <v>250.04</v>
      </c>
      <c r="G12" s="38" t="n">
        <f aca="false">E12+F12</f>
        <v>376.29</v>
      </c>
      <c r="H12" s="37" t="n">
        <v>100.39</v>
      </c>
      <c r="I12" s="37" t="n">
        <v>277.93</v>
      </c>
      <c r="J12" s="38" t="n">
        <f aca="false">H12+I12</f>
        <v>378.32</v>
      </c>
      <c r="K12" s="37" t="n">
        <v>106.86</v>
      </c>
      <c r="L12" s="37" t="n">
        <v>286.47</v>
      </c>
      <c r="M12" s="38" t="n">
        <f aca="false">K12+L12</f>
        <v>393.33</v>
      </c>
      <c r="N12" s="38" t="n">
        <f aca="false">IF(Premissas!$C$6=2022,G12,IF(Premissas!$C$6=2023,J12,IF(Premissas!$C$6=2024,M12,AVERAGE(G12,J12,M12))))</f>
        <v>393.33</v>
      </c>
      <c r="O12" s="37" t="n">
        <v>17.71</v>
      </c>
    </row>
    <row r="13" customFormat="false" ht="14.25" hidden="false" customHeight="true" outlineLevel="0" collapsed="false">
      <c r="A13" s="13" t="s">
        <v>165</v>
      </c>
      <c r="B13" s="17" t="s">
        <v>156</v>
      </c>
      <c r="C13" s="17" t="n">
        <v>0</v>
      </c>
      <c r="D13" s="23" t="s">
        <v>157</v>
      </c>
      <c r="E13" s="37" t="n">
        <v>102.72</v>
      </c>
      <c r="F13" s="37" t="n">
        <v>251.92</v>
      </c>
      <c r="G13" s="38" t="n">
        <f aca="false">E13+F13</f>
        <v>354.64</v>
      </c>
      <c r="H13" s="37" t="n">
        <v>115.75</v>
      </c>
      <c r="I13" s="37" t="n">
        <v>328.49</v>
      </c>
      <c r="J13" s="38" t="n">
        <f aca="false">H13+I13</f>
        <v>444.24</v>
      </c>
      <c r="K13" s="37" t="n">
        <v>133.46</v>
      </c>
      <c r="L13" s="37" t="n">
        <v>321.48</v>
      </c>
      <c r="M13" s="38" t="n">
        <f aca="false">K13+L13</f>
        <v>454.94</v>
      </c>
      <c r="N13" s="38" t="n">
        <f aca="false">IF(Premissas!$C$6=2022,G13,IF(Premissas!$C$6=2023,J13,IF(Premissas!$C$6=2024,M13,AVERAGE(G13,J13,M13))))</f>
        <v>454.94</v>
      </c>
      <c r="O13" s="37" t="n">
        <v>40.51</v>
      </c>
    </row>
    <row r="14" customFormat="false" ht="14.25" hidden="false" customHeight="true" outlineLevel="0" collapsed="false">
      <c r="A14" s="13" t="s">
        <v>166</v>
      </c>
      <c r="B14" s="17" t="s">
        <v>167</v>
      </c>
      <c r="C14" s="17" t="n">
        <v>1</v>
      </c>
      <c r="D14" s="23" t="s">
        <v>154</v>
      </c>
      <c r="E14" s="37" t="n">
        <v>117.81</v>
      </c>
      <c r="F14" s="37" t="n">
        <v>231.69</v>
      </c>
      <c r="G14" s="38" t="n">
        <f aca="false">E14+F14</f>
        <v>349.5</v>
      </c>
      <c r="H14" s="37" t="n">
        <v>115.3</v>
      </c>
      <c r="I14" s="37" t="n">
        <v>298.38</v>
      </c>
      <c r="J14" s="38" t="n">
        <f aca="false">H14+I14</f>
        <v>413.68</v>
      </c>
      <c r="K14" s="37" t="n">
        <v>122.95</v>
      </c>
      <c r="L14" s="37" t="n">
        <v>297.69</v>
      </c>
      <c r="M14" s="38" t="n">
        <f aca="false">K14+L14</f>
        <v>420.64</v>
      </c>
      <c r="N14" s="38" t="n">
        <f aca="false">IF(Premissas!$C$6=2022,G14,IF(Premissas!$C$6=2023,J14,IF(Premissas!$C$6=2024,M14,AVERAGE(G14,J14,M14))))</f>
        <v>420.64</v>
      </c>
      <c r="O14" s="37" t="n">
        <v>22.23</v>
      </c>
    </row>
    <row r="15" customFormat="false" ht="14.25" hidden="false" customHeight="true" outlineLevel="0" collapsed="false">
      <c r="A15" s="13" t="s">
        <v>168</v>
      </c>
      <c r="B15" s="17" t="s">
        <v>156</v>
      </c>
      <c r="C15" s="17" t="n">
        <v>0</v>
      </c>
      <c r="D15" s="23" t="s">
        <v>157</v>
      </c>
      <c r="E15" s="37" t="n">
        <v>100.35</v>
      </c>
      <c r="F15" s="37" t="n">
        <v>210.64</v>
      </c>
      <c r="G15" s="38" t="n">
        <f aca="false">E15+F15</f>
        <v>310.99</v>
      </c>
      <c r="H15" s="37" t="n">
        <v>101.9</v>
      </c>
      <c r="I15" s="37" t="n">
        <v>177.61</v>
      </c>
      <c r="J15" s="38" t="n">
        <f aca="false">H15+I15</f>
        <v>279.51</v>
      </c>
      <c r="K15" s="37" t="n">
        <v>99.25</v>
      </c>
      <c r="L15" s="37" t="n">
        <v>222.84</v>
      </c>
      <c r="M15" s="38" t="n">
        <f aca="false">K15+L15</f>
        <v>322.09</v>
      </c>
      <c r="N15" s="38" t="n">
        <f aca="false">IF(Premissas!$C$6=2022,G15,IF(Premissas!$C$6=2023,J15,IF(Premissas!$C$6=2024,M15,AVERAGE(G15,J15,M15))))</f>
        <v>322.09</v>
      </c>
      <c r="O15" s="37" t="n">
        <v>27.69</v>
      </c>
    </row>
    <row r="16" customFormat="false" ht="14.25" hidden="false" customHeight="true" outlineLevel="0" collapsed="false">
      <c r="A16" s="13" t="s">
        <v>169</v>
      </c>
      <c r="B16" s="17" t="s">
        <v>156</v>
      </c>
      <c r="C16" s="17" t="n">
        <v>0</v>
      </c>
      <c r="D16" s="23" t="s">
        <v>157</v>
      </c>
      <c r="E16" s="37" t="n">
        <v>104.84</v>
      </c>
      <c r="F16" s="37" t="n">
        <v>202.43</v>
      </c>
      <c r="G16" s="38" t="n">
        <f aca="false">E16+F16</f>
        <v>307.27</v>
      </c>
      <c r="H16" s="37" t="n">
        <v>87.83</v>
      </c>
      <c r="I16" s="37" t="n">
        <v>189.02</v>
      </c>
      <c r="J16" s="38" t="n">
        <f aca="false">H16+I16</f>
        <v>276.85</v>
      </c>
      <c r="K16" s="37" t="n">
        <v>100.63</v>
      </c>
      <c r="L16" s="37" t="n">
        <v>190.57</v>
      </c>
      <c r="M16" s="38" t="n">
        <f aca="false">K16+L16</f>
        <v>291.2</v>
      </c>
      <c r="N16" s="38" t="n">
        <f aca="false">IF(Premissas!$C$6=2022,G16,IF(Premissas!$C$6=2023,J16,IF(Premissas!$C$6=2024,M16,AVERAGE(G16,J16,M16))))</f>
        <v>291.2</v>
      </c>
      <c r="O16" s="37" t="n">
        <v>33.28</v>
      </c>
    </row>
    <row r="17" customFormat="false" ht="14.25" hidden="false" customHeight="true" outlineLevel="0" collapsed="false">
      <c r="A17" s="13" t="s">
        <v>170</v>
      </c>
      <c r="B17" s="17" t="s">
        <v>156</v>
      </c>
      <c r="C17" s="17" t="n">
        <v>0</v>
      </c>
      <c r="D17" s="23" t="s">
        <v>157</v>
      </c>
      <c r="E17" s="37" t="n">
        <v>124.05</v>
      </c>
      <c r="F17" s="37" t="n">
        <v>192.1</v>
      </c>
      <c r="G17" s="38" t="n">
        <f aca="false">E17+F17</f>
        <v>316.15</v>
      </c>
      <c r="H17" s="37" t="n">
        <v>103.18</v>
      </c>
      <c r="I17" s="37" t="n">
        <v>206.59</v>
      </c>
      <c r="J17" s="38" t="n">
        <f aca="false">H17+I17</f>
        <v>309.77</v>
      </c>
      <c r="K17" s="37" t="n">
        <v>92.09</v>
      </c>
      <c r="L17" s="37" t="n">
        <v>189.61</v>
      </c>
      <c r="M17" s="38" t="n">
        <f aca="false">K17+L17</f>
        <v>281.7</v>
      </c>
      <c r="N17" s="38" t="n">
        <f aca="false">IF(Premissas!$C$6=2022,G17,IF(Premissas!$C$6=2023,J17,IF(Premissas!$C$6=2024,M17,AVERAGE(G17,J17,M17))))</f>
        <v>281.7</v>
      </c>
      <c r="O17" s="37" t="n">
        <v>40.69</v>
      </c>
    </row>
    <row r="18" customFormat="false" ht="14.25" hidden="false" customHeight="true" outlineLevel="0" collapsed="false">
      <c r="A18" s="13" t="s">
        <v>171</v>
      </c>
      <c r="B18" s="17" t="s">
        <v>156</v>
      </c>
      <c r="C18" s="17" t="n">
        <v>0</v>
      </c>
      <c r="D18" s="23" t="s">
        <v>157</v>
      </c>
      <c r="E18" s="37" t="n">
        <v>133.18</v>
      </c>
      <c r="F18" s="37" t="n">
        <v>330.73</v>
      </c>
      <c r="G18" s="38" t="n">
        <f aca="false">E18+F18</f>
        <v>463.91</v>
      </c>
      <c r="H18" s="37" t="n">
        <v>140.73</v>
      </c>
      <c r="I18" s="37" t="n">
        <v>401.35</v>
      </c>
      <c r="J18" s="38" t="n">
        <f aca="false">H18+I18</f>
        <v>542.08</v>
      </c>
      <c r="K18" s="37" t="n">
        <v>115.46</v>
      </c>
      <c r="L18" s="37" t="n">
        <v>405.11</v>
      </c>
      <c r="M18" s="38" t="n">
        <f aca="false">K18+L18</f>
        <v>520.57</v>
      </c>
      <c r="N18" s="38" t="n">
        <f aca="false">IF(Premissas!$C$6=2022,G18,IF(Premissas!$C$6=2023,J18,IF(Premissas!$C$6=2024,M18,AVERAGE(G18,J18,M18))))</f>
        <v>520.57</v>
      </c>
      <c r="O18" s="37" t="n">
        <v>74.35</v>
      </c>
    </row>
    <row r="19" customFormat="false" ht="14.25" hidden="false" customHeight="true" outlineLevel="0" collapsed="false">
      <c r="A19" s="13" t="s">
        <v>172</v>
      </c>
      <c r="B19" s="17" t="s">
        <v>156</v>
      </c>
      <c r="C19" s="17" t="n">
        <v>0</v>
      </c>
      <c r="D19" s="23" t="s">
        <v>157</v>
      </c>
      <c r="E19" s="37" t="n">
        <v>95.85</v>
      </c>
      <c r="F19" s="37" t="n">
        <v>233.16</v>
      </c>
      <c r="G19" s="38" t="n">
        <f aca="false">E19+F19</f>
        <v>329.01</v>
      </c>
      <c r="H19" s="37" t="n">
        <v>90.03</v>
      </c>
      <c r="I19" s="37" t="n">
        <v>267</v>
      </c>
      <c r="J19" s="38" t="n">
        <f aca="false">H19+I19</f>
        <v>357.03</v>
      </c>
      <c r="K19" s="37" t="n">
        <v>92.33</v>
      </c>
      <c r="L19" s="37" t="n">
        <v>203.54</v>
      </c>
      <c r="M19" s="38" t="n">
        <f aca="false">K19+L19</f>
        <v>295.87</v>
      </c>
      <c r="N19" s="38" t="n">
        <f aca="false">IF(Premissas!$C$6=2022,G19,IF(Premissas!$C$6=2023,J19,IF(Premissas!$C$6=2024,M19,AVERAGE(G19,J19,M19))))</f>
        <v>295.87</v>
      </c>
      <c r="O19" s="37" t="n">
        <v>42.82</v>
      </c>
    </row>
    <row r="20" customFormat="false" ht="14.25" hidden="false" customHeight="true" outlineLevel="0" collapsed="false">
      <c r="A20" s="13" t="s">
        <v>173</v>
      </c>
      <c r="B20" s="17" t="s">
        <v>156</v>
      </c>
      <c r="C20" s="17" t="n">
        <v>0</v>
      </c>
      <c r="D20" s="23" t="s">
        <v>157</v>
      </c>
      <c r="E20" s="37" t="n">
        <v>102.89</v>
      </c>
      <c r="F20" s="37" t="n">
        <v>203.38</v>
      </c>
      <c r="G20" s="38" t="n">
        <f aca="false">E20+F20</f>
        <v>306.27</v>
      </c>
      <c r="H20" s="37" t="n">
        <v>90.37</v>
      </c>
      <c r="I20" s="37" t="n">
        <v>203.8</v>
      </c>
      <c r="J20" s="38" t="n">
        <f aca="false">H20+I20</f>
        <v>294.17</v>
      </c>
      <c r="K20" s="37" t="n">
        <v>93.91</v>
      </c>
      <c r="L20" s="37" t="n">
        <v>204.55</v>
      </c>
      <c r="M20" s="38" t="n">
        <f aca="false">K20+L20</f>
        <v>298.46</v>
      </c>
      <c r="N20" s="38" t="n">
        <f aca="false">IF(Premissas!$C$6=2022,G20,IF(Premissas!$C$6=2023,J20,IF(Premissas!$C$6=2024,M20,AVERAGE(G20,J20,M20))))</f>
        <v>298.46</v>
      </c>
      <c r="O20" s="37" t="n">
        <v>21.73</v>
      </c>
    </row>
    <row r="21" customFormat="false" ht="14.25" hidden="false" customHeight="true" outlineLevel="0" collapsed="false">
      <c r="A21" s="13" t="s">
        <v>174</v>
      </c>
      <c r="B21" s="17" t="s">
        <v>156</v>
      </c>
      <c r="C21" s="17" t="n">
        <v>0</v>
      </c>
      <c r="D21" s="23" t="s">
        <v>157</v>
      </c>
      <c r="E21" s="37" t="n">
        <v>136.86</v>
      </c>
      <c r="F21" s="37" t="n">
        <v>260.8</v>
      </c>
      <c r="G21" s="38" t="n">
        <f aca="false">E21+F21</f>
        <v>397.66</v>
      </c>
      <c r="H21" s="37" t="n">
        <v>148.37</v>
      </c>
      <c r="I21" s="37" t="n">
        <v>361.51</v>
      </c>
      <c r="J21" s="38" t="n">
        <f aca="false">H21+I21</f>
        <v>509.88</v>
      </c>
      <c r="K21" s="37" t="n">
        <v>132.16</v>
      </c>
      <c r="L21" s="37" t="n">
        <v>436.67</v>
      </c>
      <c r="M21" s="38" t="n">
        <f aca="false">K21+L21</f>
        <v>568.83</v>
      </c>
      <c r="N21" s="38" t="n">
        <f aca="false">IF(Premissas!$C$6=2022,G21,IF(Premissas!$C$6=2023,J21,IF(Premissas!$C$6=2024,M21,AVERAGE(G21,J21,M21))))</f>
        <v>568.83</v>
      </c>
      <c r="O21" s="37" t="n">
        <v>55.37</v>
      </c>
    </row>
    <row r="22" customFormat="false" ht="14.25" hidden="false" customHeight="true" outlineLevel="0" collapsed="false">
      <c r="A22" s="13" t="s">
        <v>175</v>
      </c>
      <c r="B22" s="17" t="s">
        <v>156</v>
      </c>
      <c r="C22" s="17" t="n">
        <v>0</v>
      </c>
      <c r="D22" s="23" t="s">
        <v>157</v>
      </c>
      <c r="E22" s="37" t="n">
        <v>67.08</v>
      </c>
      <c r="F22" s="37" t="n">
        <v>256.69</v>
      </c>
      <c r="G22" s="38" t="n">
        <f aca="false">E22+F22</f>
        <v>323.77</v>
      </c>
      <c r="H22" s="37" t="n">
        <v>73.35</v>
      </c>
      <c r="I22" s="37" t="n">
        <v>321.59</v>
      </c>
      <c r="J22" s="38" t="n">
        <f aca="false">H22+I22</f>
        <v>394.94</v>
      </c>
      <c r="K22" s="37" t="n">
        <v>69.53</v>
      </c>
      <c r="L22" s="37" t="n">
        <v>316.27</v>
      </c>
      <c r="M22" s="38" t="n">
        <f aca="false">K22+L22</f>
        <v>385.8</v>
      </c>
      <c r="N22" s="38" t="n">
        <f aca="false">IF(Premissas!$C$6=2022,G22,IF(Premissas!$C$6=2023,J22,IF(Premissas!$C$6=2024,M22,AVERAGE(G22,J22,M22))))</f>
        <v>385.8</v>
      </c>
      <c r="O22" s="37" t="n">
        <v>48.2</v>
      </c>
    </row>
    <row r="23" customFormat="false" ht="14.25" hidden="false" customHeight="true" outlineLevel="0" collapsed="false">
      <c r="A23" s="13" t="s">
        <v>176</v>
      </c>
      <c r="B23" s="17" t="s">
        <v>156</v>
      </c>
      <c r="C23" s="17" t="n">
        <v>0</v>
      </c>
      <c r="D23" s="23" t="s">
        <v>157</v>
      </c>
      <c r="E23" s="37" t="n">
        <v>104.33</v>
      </c>
      <c r="F23" s="37" t="n">
        <v>166.76</v>
      </c>
      <c r="G23" s="38" t="n">
        <f aca="false">E23+F23</f>
        <v>271.09</v>
      </c>
      <c r="H23" s="37" t="n">
        <v>93.13</v>
      </c>
      <c r="I23" s="37" t="n">
        <v>207.28</v>
      </c>
      <c r="J23" s="38" t="n">
        <f aca="false">H23+I23</f>
        <v>300.41</v>
      </c>
      <c r="K23" s="37" t="n">
        <v>98.65</v>
      </c>
      <c r="L23" s="37" t="n">
        <v>220.48</v>
      </c>
      <c r="M23" s="38" t="n">
        <f aca="false">K23+L23</f>
        <v>319.13</v>
      </c>
      <c r="N23" s="38" t="n">
        <f aca="false">IF(Premissas!$C$6=2022,G23,IF(Premissas!$C$6=2023,J23,IF(Premissas!$C$6=2024,M23,AVERAGE(G23,J23,M23))))</f>
        <v>319.13</v>
      </c>
      <c r="O23" s="37" t="n">
        <v>43.43</v>
      </c>
    </row>
    <row r="24" customFormat="false" ht="14.25" hidden="false" customHeight="true" outlineLevel="0" collapsed="false">
      <c r="A24" s="13" t="s">
        <v>177</v>
      </c>
      <c r="B24" s="17" t="s">
        <v>156</v>
      </c>
      <c r="C24" s="17" t="n">
        <v>0</v>
      </c>
      <c r="D24" s="23" t="s">
        <v>157</v>
      </c>
      <c r="E24" s="37" t="n">
        <v>135.58</v>
      </c>
      <c r="F24" s="37" t="n">
        <v>225.79</v>
      </c>
      <c r="G24" s="38" t="n">
        <f aca="false">E24+F24</f>
        <v>361.37</v>
      </c>
      <c r="H24" s="37" t="n">
        <v>127.97</v>
      </c>
      <c r="I24" s="37" t="n">
        <v>341.19</v>
      </c>
      <c r="J24" s="38" t="n">
        <f aca="false">H24+I24</f>
        <v>469.16</v>
      </c>
      <c r="K24" s="37" t="n">
        <v>112.12</v>
      </c>
      <c r="L24" s="37" t="n">
        <v>431.19</v>
      </c>
      <c r="M24" s="38" t="n">
        <f aca="false">K24+L24</f>
        <v>543.31</v>
      </c>
      <c r="N24" s="38" t="n">
        <f aca="false">IF(Premissas!$C$6=2022,G24,IF(Premissas!$C$6=2023,J24,IF(Premissas!$C$6=2024,M24,AVERAGE(G24,J24,M24))))</f>
        <v>543.31</v>
      </c>
      <c r="O24" s="37" t="n">
        <v>91.02</v>
      </c>
    </row>
    <row r="25" customFormat="false" ht="14.25" hidden="false" customHeight="true" outlineLevel="0" collapsed="false">
      <c r="A25" s="13" t="s">
        <v>178</v>
      </c>
      <c r="B25" s="17" t="s">
        <v>156</v>
      </c>
      <c r="C25" s="17" t="n">
        <v>0</v>
      </c>
      <c r="D25" s="23" t="s">
        <v>157</v>
      </c>
      <c r="E25" s="37" t="n">
        <v>96.03</v>
      </c>
      <c r="F25" s="37" t="n">
        <v>243.99</v>
      </c>
      <c r="G25" s="38" t="n">
        <f aca="false">E25+F25</f>
        <v>340.02</v>
      </c>
      <c r="H25" s="37" t="n">
        <v>90.88</v>
      </c>
      <c r="I25" s="37" t="n">
        <v>267.75</v>
      </c>
      <c r="J25" s="38" t="n">
        <f aca="false">H25+I25</f>
        <v>358.63</v>
      </c>
      <c r="K25" s="37" t="n">
        <v>93.41</v>
      </c>
      <c r="L25" s="37" t="n">
        <v>212.16</v>
      </c>
      <c r="M25" s="38" t="n">
        <f aca="false">K25+L25</f>
        <v>305.57</v>
      </c>
      <c r="N25" s="38" t="n">
        <f aca="false">IF(Premissas!$C$6=2022,G25,IF(Premissas!$C$6=2023,J25,IF(Premissas!$C$6=2024,M25,AVERAGE(G25,J25,M25))))</f>
        <v>305.57</v>
      </c>
      <c r="O25" s="37" t="n">
        <v>33.61</v>
      </c>
    </row>
    <row r="26" customFormat="false" ht="14.25" hidden="false" customHeight="true" outlineLevel="0" collapsed="false">
      <c r="A26" s="13" t="s">
        <v>179</v>
      </c>
      <c r="B26" s="17" t="s">
        <v>156</v>
      </c>
      <c r="C26" s="17" t="n">
        <v>0</v>
      </c>
      <c r="D26" s="23" t="s">
        <v>157</v>
      </c>
      <c r="E26" s="37" t="n">
        <v>118.24</v>
      </c>
      <c r="F26" s="37" t="n">
        <v>195.8</v>
      </c>
      <c r="G26" s="38" t="n">
        <f aca="false">E26+F26</f>
        <v>314.04</v>
      </c>
      <c r="H26" s="37" t="n">
        <v>101.47</v>
      </c>
      <c r="I26" s="37" t="n">
        <v>206.1</v>
      </c>
      <c r="J26" s="38" t="n">
        <f aca="false">H26+I26</f>
        <v>307.57</v>
      </c>
      <c r="K26" s="37" t="n">
        <v>97.49</v>
      </c>
      <c r="L26" s="37" t="n">
        <v>227.91</v>
      </c>
      <c r="M26" s="38" t="n">
        <f aca="false">K26+L26</f>
        <v>325.4</v>
      </c>
      <c r="N26" s="38" t="n">
        <f aca="false">IF(Premissas!$C$6=2022,G26,IF(Premissas!$C$6=2023,J26,IF(Premissas!$C$6=2024,M26,AVERAGE(G26,J26,M26))))</f>
        <v>325.4</v>
      </c>
      <c r="O26" s="37" t="n">
        <v>33.32</v>
      </c>
    </row>
    <row r="27" customFormat="false" ht="14.25" hidden="false" customHeight="true" outlineLevel="0" collapsed="false">
      <c r="A27" s="13" t="s">
        <v>180</v>
      </c>
      <c r="B27" s="17" t="s">
        <v>156</v>
      </c>
      <c r="C27" s="17" t="n">
        <v>0</v>
      </c>
      <c r="D27" s="23" t="s">
        <v>157</v>
      </c>
      <c r="E27" s="37" t="n">
        <v>108.47</v>
      </c>
      <c r="F27" s="37" t="n">
        <v>173.79</v>
      </c>
      <c r="G27" s="38" t="n">
        <f aca="false">E27+F27</f>
        <v>282.26</v>
      </c>
      <c r="H27" s="37" t="n">
        <v>96.67</v>
      </c>
      <c r="I27" s="37" t="n">
        <v>206.45</v>
      </c>
      <c r="J27" s="38" t="n">
        <f aca="false">H27+I27</f>
        <v>303.12</v>
      </c>
      <c r="K27" s="37" t="n">
        <v>86.23</v>
      </c>
      <c r="L27" s="37" t="n">
        <v>217.09</v>
      </c>
      <c r="M27" s="38" t="n">
        <f aca="false">K27+L27</f>
        <v>303.32</v>
      </c>
      <c r="N27" s="38" t="n">
        <f aca="false">IF(Premissas!$C$6=2022,G27,IF(Premissas!$C$6=2023,J27,IF(Premissas!$C$6=2024,M27,AVERAGE(G27,J27,M27))))</f>
        <v>303.32</v>
      </c>
      <c r="O27" s="37" t="n">
        <v>30.05</v>
      </c>
    </row>
    <row r="28" customFormat="false" ht="14.25" hidden="false" customHeight="true" outlineLevel="0" collapsed="false">
      <c r="A28" s="13" t="s">
        <v>181</v>
      </c>
      <c r="B28" s="17" t="s">
        <v>156</v>
      </c>
      <c r="C28" s="17" t="n">
        <v>0</v>
      </c>
      <c r="D28" s="23" t="s">
        <v>157</v>
      </c>
      <c r="E28" s="37" t="n">
        <v>97.45</v>
      </c>
      <c r="F28" s="37" t="n">
        <v>153.96</v>
      </c>
      <c r="G28" s="38" t="n">
        <f aca="false">E28+F28</f>
        <v>251.41</v>
      </c>
      <c r="H28" s="37" t="n">
        <v>86.01</v>
      </c>
      <c r="I28" s="37" t="n">
        <v>243.33</v>
      </c>
      <c r="J28" s="38" t="n">
        <f aca="false">H28+I28</f>
        <v>329.34</v>
      </c>
      <c r="K28" s="37" t="n">
        <v>91.77</v>
      </c>
      <c r="L28" s="37" t="n">
        <v>204.85</v>
      </c>
      <c r="M28" s="38" t="n">
        <f aca="false">K28+L28</f>
        <v>296.62</v>
      </c>
      <c r="N28" s="38" t="n">
        <f aca="false">IF(Premissas!$C$6=2022,G28,IF(Premissas!$C$6=2023,J28,IF(Premissas!$C$6=2024,M28,AVERAGE(G28,J28,M28))))</f>
        <v>296.62</v>
      </c>
      <c r="O28" s="37" t="n">
        <v>41.89</v>
      </c>
    </row>
    <row r="29" customFormat="false" ht="14.25" hidden="false" customHeight="true" outlineLevel="0" collapsed="false">
      <c r="A29" s="13" t="s">
        <v>182</v>
      </c>
      <c r="B29" s="17" t="s">
        <v>156</v>
      </c>
      <c r="C29" s="17" t="n">
        <v>0</v>
      </c>
      <c r="D29" s="23" t="s">
        <v>157</v>
      </c>
      <c r="E29" s="37" t="n">
        <v>103.04</v>
      </c>
      <c r="F29" s="37" t="n">
        <v>206.82</v>
      </c>
      <c r="G29" s="38" t="n">
        <f aca="false">E29+F29</f>
        <v>309.86</v>
      </c>
      <c r="H29" s="37" t="n">
        <v>102.56</v>
      </c>
      <c r="I29" s="37" t="n">
        <v>199.45</v>
      </c>
      <c r="J29" s="38" t="n">
        <f aca="false">H29+I29</f>
        <v>302.01</v>
      </c>
      <c r="K29" s="37" t="n">
        <v>96.13</v>
      </c>
      <c r="L29" s="37" t="n">
        <v>216.78</v>
      </c>
      <c r="M29" s="38" t="n">
        <f aca="false">K29+L29</f>
        <v>312.91</v>
      </c>
      <c r="N29" s="38" t="n">
        <f aca="false">IF(Premissas!$C$6=2022,G29,IF(Premissas!$C$6=2023,J29,IF(Premissas!$C$6=2024,M29,AVERAGE(G29,J29,M29))))</f>
        <v>312.91</v>
      </c>
      <c r="O29" s="37" t="n">
        <v>30.59</v>
      </c>
    </row>
    <row r="30" customFormat="false" ht="14.25" hidden="false" customHeight="true" outlineLevel="0" collapsed="false">
      <c r="A30" s="13" t="s">
        <v>183</v>
      </c>
      <c r="B30" s="17" t="s">
        <v>156</v>
      </c>
      <c r="C30" s="17" t="n">
        <v>0</v>
      </c>
      <c r="D30" s="23" t="s">
        <v>157</v>
      </c>
      <c r="E30" s="37" t="n">
        <v>95.21</v>
      </c>
      <c r="F30" s="37" t="n">
        <v>185.96</v>
      </c>
      <c r="G30" s="38" t="n">
        <f aca="false">E30+F30</f>
        <v>281.17</v>
      </c>
      <c r="H30" s="37" t="n">
        <v>83.14</v>
      </c>
      <c r="I30" s="37" t="n">
        <v>223.73</v>
      </c>
      <c r="J30" s="38" t="n">
        <f aca="false">H30+I30</f>
        <v>306.87</v>
      </c>
      <c r="K30" s="37" t="n">
        <v>89.35</v>
      </c>
      <c r="L30" s="37" t="n">
        <v>224.45</v>
      </c>
      <c r="M30" s="38" t="n">
        <f aca="false">K30+L30</f>
        <v>313.8</v>
      </c>
      <c r="N30" s="38" t="n">
        <f aca="false">IF(Premissas!$C$6=2022,G30,IF(Premissas!$C$6=2023,J30,IF(Premissas!$C$6=2024,M30,AVERAGE(G30,J30,M30))))</f>
        <v>313.8</v>
      </c>
      <c r="O30" s="37" t="n">
        <v>25</v>
      </c>
    </row>
    <row r="31" customFormat="false" ht="14.25" hidden="false" customHeight="true" outlineLevel="0" collapsed="false">
      <c r="A31" s="13" t="s">
        <v>184</v>
      </c>
      <c r="B31" s="17" t="s">
        <v>156</v>
      </c>
      <c r="C31" s="17" t="n">
        <v>0</v>
      </c>
      <c r="D31" s="23" t="s">
        <v>157</v>
      </c>
      <c r="E31" s="37" t="n">
        <v>103.31</v>
      </c>
      <c r="F31" s="37" t="n">
        <v>217.63</v>
      </c>
      <c r="G31" s="38" t="n">
        <f aca="false">E31+F31</f>
        <v>320.94</v>
      </c>
      <c r="H31" s="37" t="n">
        <v>128.44</v>
      </c>
      <c r="I31" s="37" t="n">
        <v>219.17</v>
      </c>
      <c r="J31" s="38" t="n">
        <f aca="false">H31+I31</f>
        <v>347.61</v>
      </c>
      <c r="K31" s="37" t="n">
        <v>82.17</v>
      </c>
      <c r="L31" s="37" t="n">
        <v>204.53</v>
      </c>
      <c r="M31" s="38" t="n">
        <f aca="false">K31+L31</f>
        <v>286.7</v>
      </c>
      <c r="N31" s="38" t="n">
        <f aca="false">IF(Premissas!$C$6=2022,G31,IF(Premissas!$C$6=2023,J31,IF(Premissas!$C$6=2024,M31,AVERAGE(G31,J31,M31))))</f>
        <v>286.7</v>
      </c>
      <c r="O31" s="37" t="n">
        <v>39.5</v>
      </c>
    </row>
    <row r="32" customFormat="false" ht="14.25" hidden="false" customHeight="true" outlineLevel="0" collapsed="false">
      <c r="A32" s="13" t="s">
        <v>185</v>
      </c>
      <c r="B32" s="17" t="s">
        <v>156</v>
      </c>
      <c r="C32" s="17" t="n">
        <v>0</v>
      </c>
      <c r="D32" s="23" t="s">
        <v>157</v>
      </c>
      <c r="E32" s="37" t="n">
        <v>97.14</v>
      </c>
      <c r="F32" s="37" t="n">
        <v>116.43</v>
      </c>
      <c r="G32" s="38" t="n">
        <f aca="false">E32+F32</f>
        <v>213.57</v>
      </c>
      <c r="H32" s="37" t="n">
        <v>94.17</v>
      </c>
      <c r="I32" s="37" t="n">
        <v>231.25</v>
      </c>
      <c r="J32" s="38" t="n">
        <f aca="false">H32+I32</f>
        <v>325.42</v>
      </c>
      <c r="K32" s="37" t="n">
        <v>94.15</v>
      </c>
      <c r="L32" s="37" t="n">
        <v>287.1</v>
      </c>
      <c r="M32" s="38" t="n">
        <f aca="false">K32+L32</f>
        <v>381.25</v>
      </c>
      <c r="N32" s="38" t="n">
        <f aca="false">IF(Premissas!$C$6=2022,G32,IF(Premissas!$C$6=2023,J32,IF(Premissas!$C$6=2024,M32,AVERAGE(G32,J32,M32))))</f>
        <v>381.25</v>
      </c>
      <c r="O32" s="37" t="n">
        <v>28.25</v>
      </c>
    </row>
    <row r="33" customFormat="false" ht="14.25" hidden="false" customHeight="true" outlineLevel="0" collapsed="false">
      <c r="A33" s="13" t="s">
        <v>186</v>
      </c>
      <c r="B33" s="17" t="s">
        <v>156</v>
      </c>
      <c r="C33" s="17" t="n">
        <v>0</v>
      </c>
      <c r="D33" s="23" t="s">
        <v>157</v>
      </c>
      <c r="E33" s="37" t="n">
        <v>102.25</v>
      </c>
      <c r="F33" s="37" t="n">
        <v>323.17</v>
      </c>
      <c r="G33" s="38" t="n">
        <f aca="false">E33+F33</f>
        <v>425.42</v>
      </c>
      <c r="H33" s="37" t="n">
        <v>91.38</v>
      </c>
      <c r="I33" s="37" t="n">
        <v>314.16</v>
      </c>
      <c r="J33" s="38" t="n">
        <f aca="false">H33+I33</f>
        <v>405.54</v>
      </c>
      <c r="K33" s="37" t="n">
        <v>94.01</v>
      </c>
      <c r="L33" s="37" t="n">
        <v>288.86</v>
      </c>
      <c r="M33" s="38" t="n">
        <f aca="false">K33+L33</f>
        <v>382.87</v>
      </c>
      <c r="N33" s="38" t="n">
        <f aca="false">IF(Premissas!$C$6=2022,G33,IF(Premissas!$C$6=2023,J33,IF(Premissas!$C$6=2024,M33,AVERAGE(G33,J33,M33))))</f>
        <v>382.87</v>
      </c>
      <c r="O33" s="37" t="n">
        <v>19.95</v>
      </c>
    </row>
    <row r="34" customFormat="false" ht="14.25" hidden="false" customHeight="true" outlineLevel="0" collapsed="false">
      <c r="A34" s="13" t="s">
        <v>187</v>
      </c>
      <c r="B34" s="17" t="s">
        <v>156</v>
      </c>
      <c r="C34" s="17" t="n">
        <v>0</v>
      </c>
      <c r="D34" s="23" t="s">
        <v>157</v>
      </c>
      <c r="E34" s="37" t="n">
        <v>98.87</v>
      </c>
      <c r="F34" s="37" t="n">
        <v>216.8</v>
      </c>
      <c r="G34" s="38" t="n">
        <f aca="false">E34+F34</f>
        <v>315.67</v>
      </c>
      <c r="H34" s="37" t="n">
        <v>87.33</v>
      </c>
      <c r="I34" s="37" t="n">
        <v>155.84</v>
      </c>
      <c r="J34" s="38" t="n">
        <f aca="false">H34+I34</f>
        <v>243.17</v>
      </c>
      <c r="K34" s="37" t="n">
        <v>120.56</v>
      </c>
      <c r="L34" s="37" t="n">
        <v>207.93</v>
      </c>
      <c r="M34" s="38" t="n">
        <f aca="false">K34+L34</f>
        <v>328.49</v>
      </c>
      <c r="N34" s="38" t="n">
        <f aca="false">IF(Premissas!$C$6=2022,G34,IF(Premissas!$C$6=2023,J34,IF(Premissas!$C$6=2024,M34,AVERAGE(G34,J34,M34))))</f>
        <v>328.49</v>
      </c>
      <c r="O34" s="37" t="n">
        <v>32.01</v>
      </c>
    </row>
    <row r="35" customFormat="false" ht="14.25" hidden="false" customHeight="true" outlineLevel="0" collapsed="false">
      <c r="A35" s="13" t="s">
        <v>188</v>
      </c>
      <c r="B35" s="17" t="s">
        <v>156</v>
      </c>
      <c r="C35" s="17" t="n">
        <v>0</v>
      </c>
      <c r="D35" s="23" t="s">
        <v>157</v>
      </c>
      <c r="E35" s="37" t="n">
        <v>94.52</v>
      </c>
      <c r="F35" s="37" t="n">
        <v>136.62</v>
      </c>
      <c r="G35" s="38" t="n">
        <f aca="false">E35+F35</f>
        <v>231.14</v>
      </c>
      <c r="H35" s="37" t="n">
        <v>91.85</v>
      </c>
      <c r="I35" s="37" t="n">
        <v>180.77</v>
      </c>
      <c r="J35" s="38" t="n">
        <f aca="false">H35+I35</f>
        <v>272.62</v>
      </c>
      <c r="K35" s="37" t="n">
        <v>88.79</v>
      </c>
      <c r="L35" s="37" t="n">
        <v>262.46</v>
      </c>
      <c r="M35" s="38" t="n">
        <f aca="false">K35+L35</f>
        <v>351.25</v>
      </c>
      <c r="N35" s="38" t="n">
        <f aca="false">IF(Premissas!$C$6=2022,G35,IF(Premissas!$C$6=2023,J35,IF(Premissas!$C$6=2024,M35,AVERAGE(G35,J35,M35))))</f>
        <v>351.25</v>
      </c>
      <c r="O35" s="37" t="n">
        <v>35.35</v>
      </c>
    </row>
    <row r="36" customFormat="false" ht="14.25" hidden="false" customHeight="true" outlineLevel="0" collapsed="false">
      <c r="A36" s="13" t="s">
        <v>189</v>
      </c>
      <c r="B36" s="17" t="s">
        <v>156</v>
      </c>
      <c r="C36" s="17" t="n">
        <v>0</v>
      </c>
      <c r="D36" s="23" t="s">
        <v>157</v>
      </c>
      <c r="E36" s="37" t="n">
        <v>115.21</v>
      </c>
      <c r="F36" s="37" t="n">
        <v>221.69</v>
      </c>
      <c r="G36" s="38" t="n">
        <f aca="false">E36+F36</f>
        <v>336.9</v>
      </c>
      <c r="H36" s="37" t="n">
        <v>105.28</v>
      </c>
      <c r="I36" s="37" t="n">
        <v>301.16</v>
      </c>
      <c r="J36" s="38" t="n">
        <f aca="false">H36+I36</f>
        <v>406.44</v>
      </c>
      <c r="K36" s="37" t="n">
        <v>86.04</v>
      </c>
      <c r="L36" s="37" t="n">
        <v>217.92</v>
      </c>
      <c r="M36" s="38" t="n">
        <f aca="false">K36+L36</f>
        <v>303.96</v>
      </c>
      <c r="N36" s="38" t="n">
        <f aca="false">IF(Premissas!$C$6=2022,G36,IF(Premissas!$C$6=2023,J36,IF(Premissas!$C$6=2024,M36,AVERAGE(G36,J36,M36))))</f>
        <v>303.96</v>
      </c>
      <c r="O36" s="37" t="n">
        <v>33.25</v>
      </c>
    </row>
    <row r="37" customFormat="false" ht="14.25" hidden="false" customHeight="true" outlineLevel="0" collapsed="false">
      <c r="A37" s="13" t="s">
        <v>190</v>
      </c>
      <c r="B37" s="17" t="s">
        <v>156</v>
      </c>
      <c r="C37" s="17" t="n">
        <v>0</v>
      </c>
      <c r="D37" s="23" t="s">
        <v>157</v>
      </c>
      <c r="E37" s="37" t="n">
        <v>91.42</v>
      </c>
      <c r="F37" s="37" t="n">
        <v>77.96</v>
      </c>
      <c r="G37" s="38" t="n">
        <f aca="false">E37+F37</f>
        <v>169.38</v>
      </c>
      <c r="H37" s="37" t="n">
        <v>90.28</v>
      </c>
      <c r="I37" s="37" t="n">
        <v>306.87</v>
      </c>
      <c r="J37" s="38" t="n">
        <f aca="false">H37+I37</f>
        <v>397.15</v>
      </c>
      <c r="K37" s="37" t="n">
        <v>95.31</v>
      </c>
      <c r="L37" s="37" t="n">
        <v>312.86</v>
      </c>
      <c r="M37" s="38" t="n">
        <f aca="false">K37+L37</f>
        <v>408.17</v>
      </c>
      <c r="N37" s="38" t="n">
        <f aca="false">IF(Premissas!$C$6=2022,G37,IF(Premissas!$C$6=2023,J37,IF(Premissas!$C$6=2024,M37,AVERAGE(G37,J37,M37))))</f>
        <v>408.17</v>
      </c>
      <c r="O37" s="37" t="n">
        <v>40.9</v>
      </c>
    </row>
    <row r="38" customFormat="false" ht="14.25" hidden="false" customHeight="true" outlineLevel="0" collapsed="false">
      <c r="A38" s="13" t="s">
        <v>191</v>
      </c>
      <c r="B38" s="17" t="s">
        <v>156</v>
      </c>
      <c r="C38" s="17" t="n">
        <v>0</v>
      </c>
      <c r="D38" s="23" t="s">
        <v>157</v>
      </c>
      <c r="E38" s="37" t="n">
        <v>96.55</v>
      </c>
      <c r="F38" s="37" t="n">
        <v>322.56</v>
      </c>
      <c r="G38" s="38" t="n">
        <f aca="false">E38+F38</f>
        <v>419.11</v>
      </c>
      <c r="H38" s="37" t="n">
        <v>81.27</v>
      </c>
      <c r="I38" s="37" t="n">
        <v>206.64</v>
      </c>
      <c r="J38" s="38" t="n">
        <f aca="false">H38+I38</f>
        <v>287.91</v>
      </c>
      <c r="K38" s="37" t="n">
        <v>88.44</v>
      </c>
      <c r="L38" s="37" t="n">
        <v>181.54</v>
      </c>
      <c r="M38" s="38" t="n">
        <f aca="false">K38+L38</f>
        <v>269.98</v>
      </c>
      <c r="N38" s="38" t="n">
        <f aca="false">IF(Premissas!$C$6=2022,G38,IF(Premissas!$C$6=2023,J38,IF(Premissas!$C$6=2024,M38,AVERAGE(G38,J38,M38))))</f>
        <v>269.98</v>
      </c>
      <c r="O38" s="37" t="n">
        <v>34.69</v>
      </c>
    </row>
    <row r="39" customFormat="false" ht="14.25" hidden="false" customHeight="true" outlineLevel="0" collapsed="false">
      <c r="A39" s="13" t="s">
        <v>192</v>
      </c>
      <c r="B39" s="17" t="s">
        <v>156</v>
      </c>
      <c r="C39" s="17" t="n">
        <v>0</v>
      </c>
      <c r="D39" s="23" t="s">
        <v>157</v>
      </c>
      <c r="E39" s="37" t="n">
        <v>102.21</v>
      </c>
      <c r="F39" s="37" t="n">
        <v>286.54</v>
      </c>
      <c r="G39" s="38" t="n">
        <f aca="false">E39+F39</f>
        <v>388.75</v>
      </c>
      <c r="H39" s="37" t="n">
        <v>100.07</v>
      </c>
      <c r="I39" s="37" t="n">
        <v>339.67</v>
      </c>
      <c r="J39" s="38" t="n">
        <f aca="false">H39+I39</f>
        <v>439.74</v>
      </c>
      <c r="K39" s="37" t="n">
        <v>87.64</v>
      </c>
      <c r="L39" s="37" t="n">
        <v>334.24</v>
      </c>
      <c r="M39" s="38" t="n">
        <f aca="false">K39+L39</f>
        <v>421.88</v>
      </c>
      <c r="N39" s="38" t="n">
        <f aca="false">IF(Premissas!$C$6=2022,G39,IF(Premissas!$C$6=2023,J39,IF(Premissas!$C$6=2024,M39,AVERAGE(G39,J39,M39))))</f>
        <v>421.88</v>
      </c>
      <c r="O39" s="37" t="n">
        <v>34.06</v>
      </c>
    </row>
    <row r="40" customFormat="false" ht="14.25" hidden="false" customHeight="true" outlineLevel="0" collapsed="false">
      <c r="A40" s="13" t="s">
        <v>193</v>
      </c>
      <c r="B40" s="17" t="s">
        <v>156</v>
      </c>
      <c r="C40" s="17" t="n">
        <v>0</v>
      </c>
      <c r="D40" s="23" t="s">
        <v>157</v>
      </c>
      <c r="E40" s="37" t="n">
        <v>108.85</v>
      </c>
      <c r="F40" s="37" t="n">
        <v>185.94</v>
      </c>
      <c r="G40" s="38" t="n">
        <f aca="false">E40+F40</f>
        <v>294.79</v>
      </c>
      <c r="H40" s="37" t="n">
        <v>106.41</v>
      </c>
      <c r="I40" s="37" t="n">
        <v>150.12</v>
      </c>
      <c r="J40" s="38" t="n">
        <f aca="false">H40+I40</f>
        <v>256.53</v>
      </c>
      <c r="K40" s="37" t="n">
        <v>97.51</v>
      </c>
      <c r="L40" s="37" t="n">
        <v>145.16</v>
      </c>
      <c r="M40" s="38" t="n">
        <f aca="false">K40+L40</f>
        <v>242.67</v>
      </c>
      <c r="N40" s="38" t="n">
        <f aca="false">IF(Premissas!$C$6=2022,G40,IF(Premissas!$C$6=2023,J40,IF(Premissas!$C$6=2024,M40,AVERAGE(G40,J40,M40))))</f>
        <v>242.67</v>
      </c>
      <c r="O40" s="37" t="n">
        <v>28.56</v>
      </c>
    </row>
    <row r="41" customFormat="false" ht="14.25" hidden="false" customHeight="true" outlineLevel="0" collapsed="false">
      <c r="A41" s="13" t="s">
        <v>194</v>
      </c>
      <c r="B41" s="17" t="s">
        <v>156</v>
      </c>
      <c r="C41" s="17" t="n">
        <v>0</v>
      </c>
      <c r="D41" s="23" t="s">
        <v>157</v>
      </c>
      <c r="E41" s="37" t="n">
        <v>96.56</v>
      </c>
      <c r="F41" s="37" t="n">
        <v>134.09</v>
      </c>
      <c r="G41" s="38" t="n">
        <f aca="false">E41+F41</f>
        <v>230.65</v>
      </c>
      <c r="H41" s="37" t="n">
        <v>95.38</v>
      </c>
      <c r="I41" s="37" t="n">
        <v>179.91</v>
      </c>
      <c r="J41" s="38" t="n">
        <f aca="false">H41+I41</f>
        <v>275.29</v>
      </c>
      <c r="K41" s="37" t="n">
        <v>92.98</v>
      </c>
      <c r="L41" s="37" t="n">
        <v>189.61</v>
      </c>
      <c r="M41" s="38" t="n">
        <f aca="false">K41+L41</f>
        <v>282.59</v>
      </c>
      <c r="N41" s="38" t="n">
        <f aca="false">IF(Premissas!$C$6=2022,G41,IF(Premissas!$C$6=2023,J41,IF(Premissas!$C$6=2024,M41,AVERAGE(G41,J41,M41))))</f>
        <v>282.59</v>
      </c>
      <c r="O41" s="37" t="n">
        <v>20.38</v>
      </c>
    </row>
    <row r="42" customFormat="false" ht="14.25" hidden="false" customHeight="true" outlineLevel="0" collapsed="false">
      <c r="A42" s="13" t="s">
        <v>195</v>
      </c>
      <c r="B42" s="17" t="s">
        <v>156</v>
      </c>
      <c r="C42" s="17" t="n">
        <v>0</v>
      </c>
      <c r="D42" s="23" t="s">
        <v>157</v>
      </c>
      <c r="E42" s="37" t="n">
        <v>94.53</v>
      </c>
      <c r="F42" s="37" t="n">
        <v>198.07</v>
      </c>
      <c r="G42" s="38" t="n">
        <f aca="false">E42+F42</f>
        <v>292.6</v>
      </c>
      <c r="H42" s="37" t="n">
        <v>88.81</v>
      </c>
      <c r="I42" s="37" t="n">
        <v>219.66</v>
      </c>
      <c r="J42" s="38" t="n">
        <f aca="false">H42+I42</f>
        <v>308.47</v>
      </c>
      <c r="K42" s="37" t="n">
        <v>96.82</v>
      </c>
      <c r="L42" s="37" t="n">
        <v>233.75</v>
      </c>
      <c r="M42" s="38" t="n">
        <f aca="false">K42+L42</f>
        <v>330.57</v>
      </c>
      <c r="N42" s="38" t="n">
        <f aca="false">IF(Premissas!$C$6=2022,G42,IF(Premissas!$C$6=2023,J42,IF(Premissas!$C$6=2024,M42,AVERAGE(G42,J42,M42))))</f>
        <v>330.57</v>
      </c>
      <c r="O42" s="37" t="n">
        <v>30.55</v>
      </c>
    </row>
    <row r="43" customFormat="false" ht="14.25" hidden="false" customHeight="true" outlineLevel="0" collapsed="false">
      <c r="A43" s="13" t="s">
        <v>196</v>
      </c>
      <c r="B43" s="17" t="s">
        <v>156</v>
      </c>
      <c r="C43" s="17" t="n">
        <v>0</v>
      </c>
      <c r="D43" s="23" t="s">
        <v>157</v>
      </c>
      <c r="E43" s="37" t="n">
        <v>113.33</v>
      </c>
      <c r="F43" s="37" t="n">
        <v>197.64</v>
      </c>
      <c r="G43" s="38" t="n">
        <f aca="false">E43+F43</f>
        <v>310.97</v>
      </c>
      <c r="H43" s="37" t="n">
        <v>103.78</v>
      </c>
      <c r="I43" s="37" t="n">
        <v>195.88</v>
      </c>
      <c r="J43" s="38" t="n">
        <f aca="false">H43+I43</f>
        <v>299.66</v>
      </c>
      <c r="K43" s="37" t="n">
        <v>112.03</v>
      </c>
      <c r="L43" s="37" t="n">
        <v>215.27</v>
      </c>
      <c r="M43" s="38" t="n">
        <f aca="false">K43+L43</f>
        <v>327.3</v>
      </c>
      <c r="N43" s="38" t="n">
        <f aca="false">IF(Premissas!$C$6=2022,G43,IF(Premissas!$C$6=2023,J43,IF(Premissas!$C$6=2024,M43,AVERAGE(G43,J43,M43))))</f>
        <v>327.3</v>
      </c>
      <c r="O43" s="37" t="n">
        <v>53.45</v>
      </c>
    </row>
    <row r="44" customFormat="false" ht="14.25" hidden="false" customHeight="true" outlineLevel="0" collapsed="false">
      <c r="A44" s="13" t="s">
        <v>197</v>
      </c>
      <c r="B44" s="17" t="s">
        <v>156</v>
      </c>
      <c r="C44" s="17" t="n">
        <v>0</v>
      </c>
      <c r="D44" s="23" t="s">
        <v>157</v>
      </c>
      <c r="E44" s="37" t="n">
        <v>96.23</v>
      </c>
      <c r="F44" s="37" t="n">
        <v>196</v>
      </c>
      <c r="G44" s="38" t="n">
        <f aca="false">E44+F44</f>
        <v>292.23</v>
      </c>
      <c r="H44" s="37" t="n">
        <v>95.05</v>
      </c>
      <c r="I44" s="37" t="n">
        <v>183.98</v>
      </c>
      <c r="J44" s="38" t="n">
        <f aca="false">H44+I44</f>
        <v>279.03</v>
      </c>
      <c r="K44" s="37" t="n">
        <v>98.42</v>
      </c>
      <c r="L44" s="37" t="n">
        <v>200.83</v>
      </c>
      <c r="M44" s="38" t="n">
        <f aca="false">K44+L44</f>
        <v>299.25</v>
      </c>
      <c r="N44" s="38" t="n">
        <f aca="false">IF(Premissas!$C$6=2022,G44,IF(Premissas!$C$6=2023,J44,IF(Premissas!$C$6=2024,M44,AVERAGE(G44,J44,M44))))</f>
        <v>299.25</v>
      </c>
      <c r="O44" s="37" t="n">
        <v>13.7</v>
      </c>
    </row>
    <row r="45" customFormat="false" ht="14.25" hidden="false" customHeight="true" outlineLevel="0" collapsed="false">
      <c r="A45" s="13" t="s">
        <v>198</v>
      </c>
      <c r="B45" s="17" t="s">
        <v>156</v>
      </c>
      <c r="C45" s="17" t="n">
        <v>0</v>
      </c>
      <c r="D45" s="23" t="s">
        <v>157</v>
      </c>
      <c r="E45" s="37" t="n">
        <v>101.06</v>
      </c>
      <c r="F45" s="37" t="n">
        <v>122.59</v>
      </c>
      <c r="G45" s="38" t="n">
        <f aca="false">E45+F45</f>
        <v>223.65</v>
      </c>
      <c r="H45" s="37" t="n">
        <v>103.16</v>
      </c>
      <c r="I45" s="37" t="n">
        <v>152.25</v>
      </c>
      <c r="J45" s="38" t="n">
        <f aca="false">H45+I45</f>
        <v>255.41</v>
      </c>
      <c r="K45" s="37" t="n">
        <v>107.71</v>
      </c>
      <c r="L45" s="37" t="n">
        <v>198.13</v>
      </c>
      <c r="M45" s="38" t="n">
        <f aca="false">K45+L45</f>
        <v>305.84</v>
      </c>
      <c r="N45" s="38" t="n">
        <f aca="false">IF(Premissas!$C$6=2022,G45,IF(Premissas!$C$6=2023,J45,IF(Premissas!$C$6=2024,M45,AVERAGE(G45,J45,M45))))</f>
        <v>305.84</v>
      </c>
      <c r="O45" s="37" t="n">
        <v>48.79</v>
      </c>
    </row>
    <row r="46" customFormat="false" ht="14.25" hidden="false" customHeight="true" outlineLevel="0" collapsed="false">
      <c r="A46" s="13" t="s">
        <v>199</v>
      </c>
      <c r="B46" s="17" t="s">
        <v>156</v>
      </c>
      <c r="C46" s="17" t="n">
        <v>0</v>
      </c>
      <c r="D46" s="23" t="s">
        <v>157</v>
      </c>
      <c r="E46" s="37" t="n">
        <v>100.15</v>
      </c>
      <c r="F46" s="37" t="n">
        <v>185.42</v>
      </c>
      <c r="G46" s="38" t="n">
        <f aca="false">E46+F46</f>
        <v>285.57</v>
      </c>
      <c r="H46" s="37" t="n">
        <v>101.3</v>
      </c>
      <c r="I46" s="37" t="n">
        <v>215.13</v>
      </c>
      <c r="J46" s="38" t="n">
        <f aca="false">H46+I46</f>
        <v>316.43</v>
      </c>
      <c r="K46" s="37" t="n">
        <v>83.66</v>
      </c>
      <c r="L46" s="37" t="n">
        <v>220.38</v>
      </c>
      <c r="M46" s="38" t="n">
        <f aca="false">K46+L46</f>
        <v>304.04</v>
      </c>
      <c r="N46" s="38" t="n">
        <f aca="false">IF(Premissas!$C$6=2022,G46,IF(Premissas!$C$6=2023,J46,IF(Premissas!$C$6=2024,M46,AVERAGE(G46,J46,M46))))</f>
        <v>304.04</v>
      </c>
      <c r="O46" s="37" t="n">
        <v>33.94</v>
      </c>
    </row>
    <row r="47" customFormat="false" ht="14.25" hidden="false" customHeight="true" outlineLevel="0" collapsed="false">
      <c r="A47" s="13" t="s">
        <v>200</v>
      </c>
      <c r="B47" s="17" t="s">
        <v>156</v>
      </c>
      <c r="C47" s="17" t="n">
        <v>0</v>
      </c>
      <c r="D47" s="23" t="s">
        <v>157</v>
      </c>
      <c r="E47" s="37" t="n">
        <v>98.98</v>
      </c>
      <c r="F47" s="37" t="n">
        <v>188.23</v>
      </c>
      <c r="G47" s="38" t="n">
        <f aca="false">E47+F47</f>
        <v>287.21</v>
      </c>
      <c r="H47" s="37" t="n">
        <v>89.52</v>
      </c>
      <c r="I47" s="37" t="n">
        <v>237.22</v>
      </c>
      <c r="J47" s="38" t="n">
        <f aca="false">H47+I47</f>
        <v>326.74</v>
      </c>
      <c r="K47" s="37" t="n">
        <v>87.28</v>
      </c>
      <c r="L47" s="37" t="n">
        <v>218.19</v>
      </c>
      <c r="M47" s="38" t="n">
        <f aca="false">K47+L47</f>
        <v>305.47</v>
      </c>
      <c r="N47" s="38" t="n">
        <f aca="false">IF(Premissas!$C$6=2022,G47,IF(Premissas!$C$6=2023,J47,IF(Premissas!$C$6=2024,M47,AVERAGE(G47,J47,M47))))</f>
        <v>305.47</v>
      </c>
      <c r="O47" s="37" t="n">
        <v>30.44</v>
      </c>
    </row>
    <row r="48" customFormat="false" ht="14.25" hidden="false" customHeight="true" outlineLevel="0" collapsed="false">
      <c r="A48" s="13" t="s">
        <v>201</v>
      </c>
      <c r="B48" s="17" t="s">
        <v>202</v>
      </c>
      <c r="C48" s="17" t="n">
        <v>0</v>
      </c>
      <c r="D48" s="23" t="s">
        <v>151</v>
      </c>
      <c r="E48" s="37" t="n">
        <v>145.72</v>
      </c>
      <c r="F48" s="37" t="n">
        <v>222.39</v>
      </c>
      <c r="G48" s="38" t="n">
        <f aca="false">E48+F48</f>
        <v>368.11</v>
      </c>
      <c r="H48" s="37" t="n">
        <v>97.83</v>
      </c>
      <c r="I48" s="37" t="n">
        <v>244.57</v>
      </c>
      <c r="J48" s="38" t="n">
        <f aca="false">H48+I48</f>
        <v>342.4</v>
      </c>
      <c r="K48" s="37" t="n">
        <v>97.89</v>
      </c>
      <c r="L48" s="37" t="n">
        <v>234.24</v>
      </c>
      <c r="M48" s="38" t="n">
        <f aca="false">K48+L48</f>
        <v>332.13</v>
      </c>
      <c r="N48" s="38" t="n">
        <f aca="false">IF(Premissas!$C$6=2022,G48,IF(Premissas!$C$6=2023,J48,IF(Premissas!$C$6=2024,M48,AVERAGE(G48,J48,M48))))</f>
        <v>332.13</v>
      </c>
      <c r="O48" s="37" t="n">
        <v>27.09</v>
      </c>
    </row>
    <row r="49" customFormat="false" ht="14.25" hidden="false" customHeight="true" outlineLevel="0" collapsed="false">
      <c r="A49" s="13" t="s">
        <v>203</v>
      </c>
      <c r="B49" s="17" t="s">
        <v>150</v>
      </c>
      <c r="C49" s="17" t="n">
        <v>0</v>
      </c>
      <c r="D49" s="23" t="s">
        <v>151</v>
      </c>
      <c r="E49" s="37" t="n">
        <v>110.85</v>
      </c>
      <c r="F49" s="37" t="n">
        <v>247.2</v>
      </c>
      <c r="G49" s="38" t="n">
        <f aca="false">E49+F49</f>
        <v>358.05</v>
      </c>
      <c r="H49" s="37" t="n">
        <v>83.63</v>
      </c>
      <c r="I49" s="37" t="n">
        <v>228.93</v>
      </c>
      <c r="J49" s="38" t="n">
        <f aca="false">H49+I49</f>
        <v>312.56</v>
      </c>
      <c r="K49" s="37" t="n">
        <v>74.86</v>
      </c>
      <c r="L49" s="37" t="n">
        <v>186.83</v>
      </c>
      <c r="M49" s="38" t="n">
        <f aca="false">K49+L49</f>
        <v>261.69</v>
      </c>
      <c r="N49" s="38" t="n">
        <f aca="false">IF(Premissas!$C$6=2022,G49,IF(Premissas!$C$6=2023,J49,IF(Premissas!$C$6=2024,M49,AVERAGE(G49,J49,M49))))</f>
        <v>261.69</v>
      </c>
      <c r="O49" s="37" t="n">
        <v>15.68</v>
      </c>
    </row>
    <row r="50" customFormat="false" ht="14.25" hidden="false" customHeight="true" outlineLevel="0" collapsed="false">
      <c r="A50" s="13" t="s">
        <v>204</v>
      </c>
      <c r="B50" s="17" t="s">
        <v>156</v>
      </c>
      <c r="C50" s="17" t="n">
        <v>0</v>
      </c>
      <c r="D50" s="23" t="s">
        <v>157</v>
      </c>
      <c r="E50" s="37" t="n">
        <v>93.33</v>
      </c>
      <c r="F50" s="37" t="n">
        <v>239.91</v>
      </c>
      <c r="G50" s="38" t="n">
        <f aca="false">E50+F50</f>
        <v>333.24</v>
      </c>
      <c r="H50" s="37" t="n">
        <v>88.85</v>
      </c>
      <c r="I50" s="37" t="n">
        <v>205.88</v>
      </c>
      <c r="J50" s="38" t="n">
        <f aca="false">H50+I50</f>
        <v>294.73</v>
      </c>
      <c r="K50" s="37" t="n">
        <v>83.3</v>
      </c>
      <c r="L50" s="37" t="n">
        <v>189.61</v>
      </c>
      <c r="M50" s="38" t="n">
        <f aca="false">K50+L50</f>
        <v>272.91</v>
      </c>
      <c r="N50" s="38" t="n">
        <f aca="false">IF(Premissas!$C$6=2022,G50,IF(Premissas!$C$6=2023,J50,IF(Premissas!$C$6=2024,M50,AVERAGE(G50,J50,M50))))</f>
        <v>272.91</v>
      </c>
      <c r="O50" s="37" t="n">
        <v>16.52</v>
      </c>
    </row>
    <row r="51" customFormat="false" ht="14.25" hidden="false" customHeight="true" outlineLevel="0" collapsed="false">
      <c r="A51" s="13" t="s">
        <v>205</v>
      </c>
      <c r="B51" s="17" t="s">
        <v>206</v>
      </c>
      <c r="C51" s="17" t="n">
        <v>1</v>
      </c>
      <c r="D51" s="23" t="s">
        <v>154</v>
      </c>
      <c r="E51" s="37" t="n">
        <v>80.1</v>
      </c>
      <c r="F51" s="37" t="n">
        <v>256.95</v>
      </c>
      <c r="G51" s="38" t="n">
        <f aca="false">E51+F51</f>
        <v>337.05</v>
      </c>
      <c r="H51" s="37" t="n">
        <v>85.86</v>
      </c>
      <c r="I51" s="37" t="n">
        <v>260.42</v>
      </c>
      <c r="J51" s="38" t="n">
        <f aca="false">H51+I51</f>
        <v>346.28</v>
      </c>
      <c r="K51" s="37" t="n">
        <v>84.39</v>
      </c>
      <c r="L51" s="37" t="n">
        <v>278.31</v>
      </c>
      <c r="M51" s="38" t="n">
        <f aca="false">K51+L51</f>
        <v>362.7</v>
      </c>
      <c r="N51" s="38" t="n">
        <f aca="false">IF(Premissas!$C$6=2022,G51,IF(Premissas!$C$6=2023,J51,IF(Premissas!$C$6=2024,M51,AVERAGE(G51,J51,M51))))</f>
        <v>362.7</v>
      </c>
      <c r="O51" s="37" t="n">
        <v>38.84</v>
      </c>
    </row>
    <row r="52" customFormat="false" ht="14.25" hidden="false" customHeight="true" outlineLevel="0" collapsed="false">
      <c r="A52" s="13" t="s">
        <v>207</v>
      </c>
      <c r="B52" s="17" t="s">
        <v>156</v>
      </c>
      <c r="C52" s="17" t="n">
        <v>0</v>
      </c>
      <c r="D52" s="23" t="s">
        <v>157</v>
      </c>
      <c r="E52" s="37" t="n">
        <v>121.64</v>
      </c>
      <c r="F52" s="37" t="n">
        <v>114.77</v>
      </c>
      <c r="G52" s="38" t="n">
        <f aca="false">E52+F52</f>
        <v>236.41</v>
      </c>
      <c r="H52" s="37" t="n">
        <v>117.19</v>
      </c>
      <c r="I52" s="37" t="n">
        <v>139.05</v>
      </c>
      <c r="J52" s="38" t="n">
        <f aca="false">H52+I52</f>
        <v>256.24</v>
      </c>
      <c r="K52" s="37" t="n">
        <v>111.05</v>
      </c>
      <c r="L52" s="37" t="n">
        <v>136.48</v>
      </c>
      <c r="M52" s="38" t="n">
        <f aca="false">K52+L52</f>
        <v>247.53</v>
      </c>
      <c r="N52" s="38" t="n">
        <f aca="false">IF(Premissas!$C$6=2022,G52,IF(Premissas!$C$6=2023,J52,IF(Premissas!$C$6=2024,M52,AVERAGE(G52,J52,M52))))</f>
        <v>247.53</v>
      </c>
      <c r="O52" s="37" t="n">
        <v>23.46</v>
      </c>
    </row>
    <row r="53" customFormat="false" ht="14.25" hidden="false" customHeight="true" outlineLevel="0" collapsed="false">
      <c r="A53" s="13" t="s">
        <v>208</v>
      </c>
      <c r="B53" s="17" t="s">
        <v>156</v>
      </c>
      <c r="C53" s="17" t="n">
        <v>0</v>
      </c>
      <c r="D53" s="23" t="s">
        <v>157</v>
      </c>
      <c r="E53" s="37" t="n">
        <v>126.25</v>
      </c>
      <c r="F53" s="37" t="n">
        <v>223</v>
      </c>
      <c r="G53" s="38" t="n">
        <f aca="false">E53+F53</f>
        <v>349.25</v>
      </c>
      <c r="H53" s="37" t="n">
        <v>100.39</v>
      </c>
      <c r="I53" s="37" t="n">
        <v>237.56</v>
      </c>
      <c r="J53" s="38" t="n">
        <f aca="false">H53+I53</f>
        <v>337.95</v>
      </c>
      <c r="K53" s="37" t="n">
        <v>106.86</v>
      </c>
      <c r="L53" s="37" t="n">
        <v>223.96</v>
      </c>
      <c r="M53" s="38" t="n">
        <f aca="false">K53+L53</f>
        <v>330.82</v>
      </c>
      <c r="N53" s="38" t="n">
        <f aca="false">IF(Premissas!$C$6=2022,G53,IF(Premissas!$C$6=2023,J53,IF(Premissas!$C$6=2024,M53,AVERAGE(G53,J53,M53))))</f>
        <v>330.82</v>
      </c>
      <c r="O53" s="37" t="n">
        <v>17.71</v>
      </c>
    </row>
    <row r="54" customFormat="false" ht="14.25" hidden="false" customHeight="true" outlineLevel="0" collapsed="false">
      <c r="A54" s="13" t="s">
        <v>209</v>
      </c>
      <c r="B54" s="17" t="s">
        <v>156</v>
      </c>
      <c r="C54" s="17" t="n">
        <v>0</v>
      </c>
      <c r="D54" s="23" t="s">
        <v>157</v>
      </c>
      <c r="E54" s="37" t="n">
        <v>96.82</v>
      </c>
      <c r="F54" s="37" t="n">
        <v>172.55</v>
      </c>
      <c r="G54" s="38" t="n">
        <f aca="false">E54+F54</f>
        <v>269.37</v>
      </c>
      <c r="H54" s="37" t="n">
        <v>100.43</v>
      </c>
      <c r="I54" s="37" t="n">
        <v>220.31</v>
      </c>
      <c r="J54" s="38" t="n">
        <f aca="false">H54+I54</f>
        <v>320.74</v>
      </c>
      <c r="K54" s="37" t="n">
        <v>77.25</v>
      </c>
      <c r="L54" s="37" t="n">
        <v>206.39</v>
      </c>
      <c r="M54" s="38" t="n">
        <f aca="false">K54+L54</f>
        <v>283.64</v>
      </c>
      <c r="N54" s="38" t="n">
        <f aca="false">IF(Premissas!$C$6=2022,G54,IF(Premissas!$C$6=2023,J54,IF(Premissas!$C$6=2024,M54,AVERAGE(G54,J54,M54))))</f>
        <v>283.64</v>
      </c>
      <c r="O54" s="37" t="n">
        <v>20.7</v>
      </c>
    </row>
    <row r="55" customFormat="false" ht="14.25" hidden="false" customHeight="true" outlineLevel="0" collapsed="false">
      <c r="A55" s="13" t="s">
        <v>210</v>
      </c>
      <c r="B55" s="17" t="s">
        <v>156</v>
      </c>
      <c r="C55" s="17" t="n">
        <v>0</v>
      </c>
      <c r="D55" s="23" t="s">
        <v>157</v>
      </c>
      <c r="E55" s="37" t="n">
        <v>103.76</v>
      </c>
      <c r="F55" s="37" t="n">
        <v>220.93</v>
      </c>
      <c r="G55" s="38" t="n">
        <f aca="false">E55+F55</f>
        <v>324.69</v>
      </c>
      <c r="H55" s="37" t="n">
        <v>104.29</v>
      </c>
      <c r="I55" s="37" t="n">
        <v>181.42</v>
      </c>
      <c r="J55" s="38" t="n">
        <f aca="false">H55+I55</f>
        <v>285.71</v>
      </c>
      <c r="K55" s="37" t="n">
        <v>108.19</v>
      </c>
      <c r="L55" s="37" t="n">
        <v>205.36</v>
      </c>
      <c r="M55" s="38" t="n">
        <f aca="false">K55+L55</f>
        <v>313.55</v>
      </c>
      <c r="N55" s="38" t="n">
        <f aca="false">IF(Premissas!$C$6=2022,G55,IF(Premissas!$C$6=2023,J55,IF(Premissas!$C$6=2024,M55,AVERAGE(G55,J55,M55))))</f>
        <v>313.55</v>
      </c>
      <c r="O55" s="37" t="n">
        <v>7.71</v>
      </c>
    </row>
    <row r="56" customFormat="false" ht="14.25" hidden="false" customHeight="true" outlineLevel="0" collapsed="false">
      <c r="A56" s="13" t="s">
        <v>211</v>
      </c>
      <c r="B56" s="17" t="s">
        <v>156</v>
      </c>
      <c r="C56" s="17" t="n">
        <v>0</v>
      </c>
      <c r="D56" s="23" t="s">
        <v>157</v>
      </c>
      <c r="E56" s="37" t="n">
        <v>91.43</v>
      </c>
      <c r="F56" s="37" t="n">
        <v>221.79</v>
      </c>
      <c r="G56" s="38" t="n">
        <f aca="false">E56+F56</f>
        <v>313.22</v>
      </c>
      <c r="H56" s="37" t="n">
        <v>75.43</v>
      </c>
      <c r="I56" s="37" t="n">
        <v>218.14</v>
      </c>
      <c r="J56" s="38" t="n">
        <f aca="false">H56+I56</f>
        <v>293.57</v>
      </c>
      <c r="K56" s="37" t="n">
        <v>89.66</v>
      </c>
      <c r="L56" s="37" t="n">
        <v>210.15</v>
      </c>
      <c r="M56" s="38" t="n">
        <f aca="false">K56+L56</f>
        <v>299.81</v>
      </c>
      <c r="N56" s="38" t="n">
        <f aca="false">IF(Premissas!$C$6=2022,G56,IF(Premissas!$C$6=2023,J56,IF(Premissas!$C$6=2024,M56,AVERAGE(G56,J56,M56))))</f>
        <v>299.81</v>
      </c>
      <c r="O56" s="37" t="n">
        <v>21.28</v>
      </c>
    </row>
    <row r="57" customFormat="false" ht="14.25" hidden="false" customHeight="true" outlineLevel="0" collapsed="false">
      <c r="A57" s="13" t="s">
        <v>212</v>
      </c>
      <c r="B57" s="17" t="s">
        <v>156</v>
      </c>
      <c r="C57" s="17" t="n">
        <v>0</v>
      </c>
      <c r="D57" s="23" t="s">
        <v>157</v>
      </c>
      <c r="E57" s="37" t="n">
        <v>105.59</v>
      </c>
      <c r="F57" s="37" t="n">
        <v>215.09</v>
      </c>
      <c r="G57" s="38" t="n">
        <f aca="false">E57+F57</f>
        <v>320.68</v>
      </c>
      <c r="H57" s="37" t="n">
        <v>92.63</v>
      </c>
      <c r="I57" s="37" t="n">
        <v>226.69</v>
      </c>
      <c r="J57" s="38" t="n">
        <f aca="false">H57+I57</f>
        <v>319.32</v>
      </c>
      <c r="K57" s="37" t="n">
        <v>96.06</v>
      </c>
      <c r="L57" s="37" t="n">
        <v>194.33</v>
      </c>
      <c r="M57" s="38" t="n">
        <f aca="false">K57+L57</f>
        <v>290.39</v>
      </c>
      <c r="N57" s="38" t="n">
        <f aca="false">IF(Premissas!$C$6=2022,G57,IF(Premissas!$C$6=2023,J57,IF(Premissas!$C$6=2024,M57,AVERAGE(G57,J57,M57))))</f>
        <v>290.39</v>
      </c>
      <c r="O57" s="37" t="n">
        <v>67.78</v>
      </c>
    </row>
    <row r="58" customFormat="false" ht="14.25" hidden="false" customHeight="true" outlineLevel="0" collapsed="false">
      <c r="A58" s="13" t="s">
        <v>213</v>
      </c>
      <c r="B58" s="17" t="s">
        <v>156</v>
      </c>
      <c r="C58" s="17" t="n">
        <v>0</v>
      </c>
      <c r="D58" s="23" t="s">
        <v>157</v>
      </c>
      <c r="E58" s="37" t="n">
        <v>106.24</v>
      </c>
      <c r="F58" s="37" t="n">
        <v>271.18</v>
      </c>
      <c r="G58" s="38" t="n">
        <f aca="false">E58+F58</f>
        <v>377.42</v>
      </c>
      <c r="H58" s="37" t="n">
        <v>86.23</v>
      </c>
      <c r="I58" s="37" t="n">
        <v>306.73</v>
      </c>
      <c r="J58" s="38" t="n">
        <f aca="false">H58+I58</f>
        <v>392.96</v>
      </c>
      <c r="K58" s="37" t="n">
        <v>96.89</v>
      </c>
      <c r="L58" s="37" t="n">
        <v>187.72</v>
      </c>
      <c r="M58" s="38" t="n">
        <f aca="false">K58+L58</f>
        <v>284.61</v>
      </c>
      <c r="N58" s="38" t="n">
        <f aca="false">IF(Premissas!$C$6=2022,G58,IF(Premissas!$C$6=2023,J58,IF(Premissas!$C$6=2024,M58,AVERAGE(G58,J58,M58))))</f>
        <v>284.61</v>
      </c>
      <c r="O58" s="37" t="n">
        <v>39.51</v>
      </c>
    </row>
    <row r="59" customFormat="false" ht="14.25" hidden="false" customHeight="true" outlineLevel="0" collapsed="false">
      <c r="A59" s="13" t="s">
        <v>214</v>
      </c>
      <c r="B59" s="17" t="s">
        <v>156</v>
      </c>
      <c r="C59" s="17" t="n">
        <v>0</v>
      </c>
      <c r="D59" s="23" t="s">
        <v>157</v>
      </c>
      <c r="E59" s="37" t="n">
        <v>111.75</v>
      </c>
      <c r="F59" s="37" t="n">
        <v>213.77</v>
      </c>
      <c r="G59" s="38" t="n">
        <f aca="false">E59+F59</f>
        <v>325.52</v>
      </c>
      <c r="H59" s="37" t="n">
        <v>114.92</v>
      </c>
      <c r="I59" s="37" t="n">
        <v>225.77</v>
      </c>
      <c r="J59" s="38" t="n">
        <f aca="false">H59+I59</f>
        <v>340.69</v>
      </c>
      <c r="K59" s="37" t="n">
        <v>111.84</v>
      </c>
      <c r="L59" s="37" t="n">
        <v>194.65</v>
      </c>
      <c r="M59" s="38" t="n">
        <f aca="false">K59+L59</f>
        <v>306.49</v>
      </c>
      <c r="N59" s="38" t="n">
        <f aca="false">IF(Premissas!$C$6=2022,G59,IF(Premissas!$C$6=2023,J59,IF(Premissas!$C$6=2024,M59,AVERAGE(G59,J59,M59))))</f>
        <v>306.49</v>
      </c>
      <c r="O59" s="37" t="n">
        <v>32.61</v>
      </c>
    </row>
    <row r="60" customFormat="false" ht="14.25" hidden="false" customHeight="true" outlineLevel="0" collapsed="false">
      <c r="A60" s="13" t="s">
        <v>215</v>
      </c>
      <c r="B60" s="17" t="s">
        <v>156</v>
      </c>
      <c r="C60" s="17" t="n">
        <v>0</v>
      </c>
      <c r="D60" s="23" t="s">
        <v>157</v>
      </c>
      <c r="E60" s="37" t="n">
        <v>98.86</v>
      </c>
      <c r="F60" s="37" t="n">
        <v>210.34</v>
      </c>
      <c r="G60" s="38" t="n">
        <f aca="false">E60+F60</f>
        <v>309.2</v>
      </c>
      <c r="H60" s="37" t="n">
        <v>102.35</v>
      </c>
      <c r="I60" s="37" t="n">
        <v>204.58</v>
      </c>
      <c r="J60" s="38" t="n">
        <f aca="false">H60+I60</f>
        <v>306.93</v>
      </c>
      <c r="K60" s="37" t="n">
        <v>84.59</v>
      </c>
      <c r="L60" s="37" t="n">
        <v>194.8</v>
      </c>
      <c r="M60" s="38" t="n">
        <f aca="false">K60+L60</f>
        <v>279.39</v>
      </c>
      <c r="N60" s="38" t="n">
        <f aca="false">IF(Premissas!$C$6=2022,G60,IF(Premissas!$C$6=2023,J60,IF(Premissas!$C$6=2024,M60,AVERAGE(G60,J60,M60))))</f>
        <v>279.39</v>
      </c>
      <c r="O60" s="37" t="n">
        <v>31.71</v>
      </c>
    </row>
    <row r="61" customFormat="false" ht="14.25" hidden="false" customHeight="true" outlineLevel="0" collapsed="false">
      <c r="A61" s="13" t="s">
        <v>216</v>
      </c>
      <c r="B61" s="17" t="s">
        <v>150</v>
      </c>
      <c r="C61" s="17" t="n">
        <v>1</v>
      </c>
      <c r="D61" s="23" t="s">
        <v>154</v>
      </c>
      <c r="E61" s="37" t="n">
        <v>110.85</v>
      </c>
      <c r="F61" s="37" t="n">
        <v>247.2</v>
      </c>
      <c r="G61" s="38" t="n">
        <f aca="false">E61+F61</f>
        <v>358.05</v>
      </c>
      <c r="H61" s="37" t="n">
        <v>98.56</v>
      </c>
      <c r="I61" s="37" t="n">
        <v>287.37</v>
      </c>
      <c r="J61" s="38" t="n">
        <f aca="false">H61+I61</f>
        <v>385.93</v>
      </c>
      <c r="K61" s="37" t="n">
        <v>92.75</v>
      </c>
      <c r="L61" s="37" t="n">
        <v>275.54</v>
      </c>
      <c r="M61" s="38" t="n">
        <f aca="false">K61+L61</f>
        <v>368.29</v>
      </c>
      <c r="N61" s="38" t="n">
        <f aca="false">IF(Premissas!$C$6=2022,G61,IF(Premissas!$C$6=2023,J61,IF(Premissas!$C$6=2024,M61,AVERAGE(G61,J61,M61))))</f>
        <v>368.29</v>
      </c>
      <c r="O61" s="37" t="n">
        <v>24.22</v>
      </c>
    </row>
    <row r="62" customFormat="false" ht="14.25" hidden="false" customHeight="true" outlineLevel="0" collapsed="false">
      <c r="A62" s="13" t="s">
        <v>217</v>
      </c>
      <c r="B62" s="17" t="s">
        <v>156</v>
      </c>
      <c r="C62" s="17" t="n">
        <v>0</v>
      </c>
      <c r="D62" s="23" t="s">
        <v>157</v>
      </c>
      <c r="E62" s="37" t="n">
        <v>92.5</v>
      </c>
      <c r="F62" s="37" t="n">
        <v>198.18</v>
      </c>
      <c r="G62" s="38" t="n">
        <f aca="false">E62+F62</f>
        <v>290.68</v>
      </c>
      <c r="H62" s="37" t="n">
        <v>91.92</v>
      </c>
      <c r="I62" s="37" t="n">
        <v>202.8</v>
      </c>
      <c r="J62" s="38" t="n">
        <f aca="false">H62+I62</f>
        <v>294.72</v>
      </c>
      <c r="K62" s="37" t="n">
        <v>109.42</v>
      </c>
      <c r="L62" s="37" t="n">
        <v>205.59</v>
      </c>
      <c r="M62" s="38" t="n">
        <f aca="false">K62+L62</f>
        <v>315.01</v>
      </c>
      <c r="N62" s="38" t="n">
        <f aca="false">IF(Premissas!$C$6=2022,G62,IF(Premissas!$C$6=2023,J62,IF(Premissas!$C$6=2024,M62,AVERAGE(G62,J62,M62))))</f>
        <v>315.01</v>
      </c>
      <c r="O62" s="37" t="n">
        <v>31.17</v>
      </c>
    </row>
    <row r="63" customFormat="false" ht="14.25" hidden="false" customHeight="true" outlineLevel="0" collapsed="false">
      <c r="A63" s="13" t="s">
        <v>218</v>
      </c>
      <c r="B63" s="17" t="s">
        <v>219</v>
      </c>
      <c r="C63" s="17" t="n">
        <v>1</v>
      </c>
      <c r="D63" s="23" t="s">
        <v>154</v>
      </c>
      <c r="E63" s="37" t="n">
        <v>71.43</v>
      </c>
      <c r="F63" s="37" t="n">
        <v>268.13</v>
      </c>
      <c r="G63" s="38" t="n">
        <f aca="false">E63+F63</f>
        <v>339.56</v>
      </c>
      <c r="H63" s="37" t="n">
        <v>73.73</v>
      </c>
      <c r="I63" s="37" t="n">
        <v>277.14</v>
      </c>
      <c r="J63" s="38" t="n">
        <f aca="false">H63+I63</f>
        <v>350.87</v>
      </c>
      <c r="K63" s="37" t="n">
        <v>73.02</v>
      </c>
      <c r="L63" s="37" t="n">
        <v>315.89</v>
      </c>
      <c r="M63" s="38" t="n">
        <f aca="false">K63+L63</f>
        <v>388.91</v>
      </c>
      <c r="N63" s="38" t="n">
        <f aca="false">IF(Premissas!$C$6=2022,G63,IF(Premissas!$C$6=2023,J63,IF(Premissas!$C$6=2024,M63,AVERAGE(G63,J63,M63))))</f>
        <v>388.91</v>
      </c>
      <c r="O63" s="37" t="n">
        <v>31.3</v>
      </c>
    </row>
    <row r="64" customFormat="false" ht="14.25" hidden="false" customHeight="true" outlineLevel="0" collapsed="false">
      <c r="A64" s="13" t="s">
        <v>220</v>
      </c>
      <c r="B64" s="17" t="s">
        <v>221</v>
      </c>
      <c r="C64" s="17" t="n">
        <v>0</v>
      </c>
      <c r="D64" s="23" t="s">
        <v>151</v>
      </c>
      <c r="E64" s="37" t="n">
        <v>105.75</v>
      </c>
      <c r="F64" s="37" t="n">
        <v>237.23</v>
      </c>
      <c r="G64" s="38" t="n">
        <f aca="false">E64+F64</f>
        <v>342.98</v>
      </c>
      <c r="H64" s="37" t="n">
        <v>115.2</v>
      </c>
      <c r="I64" s="37" t="n">
        <v>221.12</v>
      </c>
      <c r="J64" s="38" t="n">
        <f aca="false">H64+I64</f>
        <v>336.32</v>
      </c>
      <c r="K64" s="37" t="n">
        <v>104.45</v>
      </c>
      <c r="L64" s="37" t="n">
        <v>254.72</v>
      </c>
      <c r="M64" s="38" t="n">
        <f aca="false">K64+L64</f>
        <v>359.17</v>
      </c>
      <c r="N64" s="38" t="n">
        <f aca="false">IF(Premissas!$C$6=2022,G64,IF(Premissas!$C$6=2023,J64,IF(Premissas!$C$6=2024,M64,AVERAGE(G64,J64,M64))))</f>
        <v>359.17</v>
      </c>
      <c r="O64" s="37" t="n">
        <v>27.47</v>
      </c>
    </row>
    <row r="65" customFormat="false" ht="14.25" hidden="false" customHeight="true" outlineLevel="0" collapsed="false">
      <c r="A65" s="13" t="s">
        <v>222</v>
      </c>
      <c r="B65" s="17" t="s">
        <v>221</v>
      </c>
      <c r="C65" s="17" t="n">
        <v>1</v>
      </c>
      <c r="D65" s="23" t="s">
        <v>154</v>
      </c>
      <c r="E65" s="37" t="n">
        <v>111.15</v>
      </c>
      <c r="F65" s="37" t="n">
        <v>281.07</v>
      </c>
      <c r="G65" s="38" t="n">
        <f aca="false">E65+F65</f>
        <v>392.22</v>
      </c>
      <c r="H65" s="37" t="n">
        <v>110.49</v>
      </c>
      <c r="I65" s="37" t="n">
        <v>302.56</v>
      </c>
      <c r="J65" s="38" t="n">
        <f aca="false">H65+I65</f>
        <v>413.05</v>
      </c>
      <c r="K65" s="37" t="n">
        <v>101.49</v>
      </c>
      <c r="L65" s="37" t="n">
        <v>311.48</v>
      </c>
      <c r="M65" s="38" t="n">
        <f aca="false">K65+L65</f>
        <v>412.97</v>
      </c>
      <c r="N65" s="38" t="n">
        <f aca="false">IF(Premissas!$C$6=2022,G65,IF(Premissas!$C$6=2023,J65,IF(Premissas!$C$6=2024,M65,AVERAGE(G65,J65,M65))))</f>
        <v>412.97</v>
      </c>
      <c r="O65" s="37" t="n">
        <v>18.38</v>
      </c>
    </row>
    <row r="66" customFormat="false" ht="14.25" hidden="false" customHeight="true" outlineLevel="0" collapsed="false">
      <c r="A66" s="13" t="s">
        <v>223</v>
      </c>
      <c r="B66" s="17" t="s">
        <v>221</v>
      </c>
      <c r="C66" s="17" t="n">
        <v>1</v>
      </c>
      <c r="D66" s="23" t="s">
        <v>154</v>
      </c>
      <c r="E66" s="37" t="n">
        <v>122.06</v>
      </c>
      <c r="F66" s="37" t="n">
        <v>303.97</v>
      </c>
      <c r="G66" s="38" t="n">
        <f aca="false">E66+F66</f>
        <v>426.03</v>
      </c>
      <c r="H66" s="37" t="n">
        <v>86.89</v>
      </c>
      <c r="I66" s="37" t="n">
        <v>322.83</v>
      </c>
      <c r="J66" s="38" t="n">
        <f aca="false">H66+I66</f>
        <v>409.72</v>
      </c>
      <c r="K66" s="37" t="n">
        <v>95.95</v>
      </c>
      <c r="L66" s="37" t="n">
        <v>311.2</v>
      </c>
      <c r="M66" s="38" t="n">
        <f aca="false">K66+L66</f>
        <v>407.15</v>
      </c>
      <c r="N66" s="38" t="n">
        <f aca="false">IF(Premissas!$C$6=2022,G66,IF(Premissas!$C$6=2023,J66,IF(Premissas!$C$6=2024,M66,AVERAGE(G66,J66,M66))))</f>
        <v>407.15</v>
      </c>
      <c r="O66" s="37" t="n">
        <v>12.76</v>
      </c>
    </row>
    <row r="67" customFormat="false" ht="14.25" hidden="false" customHeight="true" outlineLevel="0" collapsed="false">
      <c r="A67" s="13" t="s">
        <v>224</v>
      </c>
      <c r="B67" s="17" t="s">
        <v>156</v>
      </c>
      <c r="C67" s="17" t="n">
        <v>0</v>
      </c>
      <c r="D67" s="23" t="s">
        <v>157</v>
      </c>
      <c r="E67" s="37" t="n">
        <v>116.54</v>
      </c>
      <c r="F67" s="37" t="n">
        <v>190.82</v>
      </c>
      <c r="G67" s="38" t="n">
        <f aca="false">E67+F67</f>
        <v>307.36</v>
      </c>
      <c r="H67" s="37" t="n">
        <v>108.03</v>
      </c>
      <c r="I67" s="37" t="n">
        <v>213.57</v>
      </c>
      <c r="J67" s="38" t="n">
        <f aca="false">H67+I67</f>
        <v>321.6</v>
      </c>
      <c r="K67" s="37" t="n">
        <v>104.09</v>
      </c>
      <c r="L67" s="37" t="n">
        <v>222.51</v>
      </c>
      <c r="M67" s="38" t="n">
        <f aca="false">K67+L67</f>
        <v>326.6</v>
      </c>
      <c r="N67" s="38" t="n">
        <f aca="false">IF(Premissas!$C$6=2022,G67,IF(Premissas!$C$6=2023,J67,IF(Premissas!$C$6=2024,M67,AVERAGE(G67,J67,M67))))</f>
        <v>326.6</v>
      </c>
      <c r="O67" s="37" t="n">
        <v>36.99</v>
      </c>
    </row>
    <row r="68" customFormat="false" ht="14.25" hidden="false" customHeight="true" outlineLevel="0" collapsed="false">
      <c r="A68" s="13" t="s">
        <v>225</v>
      </c>
      <c r="B68" s="17" t="s">
        <v>156</v>
      </c>
      <c r="C68" s="17" t="n">
        <v>0</v>
      </c>
      <c r="D68" s="23" t="s">
        <v>157</v>
      </c>
      <c r="E68" s="37" t="n">
        <v>99.85</v>
      </c>
      <c r="F68" s="37" t="n">
        <v>135.81</v>
      </c>
      <c r="G68" s="38" t="n">
        <f aca="false">E68+F68</f>
        <v>235.66</v>
      </c>
      <c r="H68" s="37" t="n">
        <v>96.43</v>
      </c>
      <c r="I68" s="37" t="n">
        <v>156.52</v>
      </c>
      <c r="J68" s="38" t="n">
        <f aca="false">H68+I68</f>
        <v>252.95</v>
      </c>
      <c r="K68" s="37" t="n">
        <v>99.55</v>
      </c>
      <c r="L68" s="37" t="n">
        <v>219.3</v>
      </c>
      <c r="M68" s="38" t="n">
        <f aca="false">K68+L68</f>
        <v>318.85</v>
      </c>
      <c r="N68" s="38" t="n">
        <f aca="false">IF(Premissas!$C$6=2022,G68,IF(Premissas!$C$6=2023,J68,IF(Premissas!$C$6=2024,M68,AVERAGE(G68,J68,M68))))</f>
        <v>318.85</v>
      </c>
      <c r="O68" s="37" t="n">
        <v>29.59</v>
      </c>
    </row>
    <row r="69" customFormat="false" ht="14.25" hidden="false" customHeight="true" outlineLevel="0" collapsed="false">
      <c r="A69" s="13" t="s">
        <v>226</v>
      </c>
      <c r="B69" s="17" t="s">
        <v>156</v>
      </c>
      <c r="C69" s="17" t="n">
        <v>0</v>
      </c>
      <c r="D69" s="23" t="s">
        <v>157</v>
      </c>
      <c r="E69" s="37" t="n">
        <v>126.25</v>
      </c>
      <c r="F69" s="37" t="n">
        <v>232.25</v>
      </c>
      <c r="G69" s="38" t="n">
        <f aca="false">E69+F69</f>
        <v>358.5</v>
      </c>
      <c r="H69" s="37" t="n">
        <v>79.05</v>
      </c>
      <c r="I69" s="37" t="n">
        <v>280.89</v>
      </c>
      <c r="J69" s="38" t="n">
        <f aca="false">H69+I69</f>
        <v>359.94</v>
      </c>
      <c r="K69" s="37" t="n">
        <v>87.84</v>
      </c>
      <c r="L69" s="37" t="n">
        <v>322.99</v>
      </c>
      <c r="M69" s="38" t="n">
        <f aca="false">K69+L69</f>
        <v>410.83</v>
      </c>
      <c r="N69" s="38" t="n">
        <f aca="false">IF(Premissas!$C$6=2022,G69,IF(Premissas!$C$6=2023,J69,IF(Premissas!$C$6=2024,M69,AVERAGE(G69,J69,M69))))</f>
        <v>410.83</v>
      </c>
      <c r="O69" s="37" t="n">
        <v>17.09</v>
      </c>
    </row>
    <row r="70" customFormat="false" ht="14.25" hidden="false" customHeight="true" outlineLevel="0" collapsed="false">
      <c r="A70" s="13" t="s">
        <v>227</v>
      </c>
      <c r="B70" s="17" t="s">
        <v>160</v>
      </c>
      <c r="C70" s="17" t="n">
        <v>0</v>
      </c>
      <c r="D70" s="23" t="s">
        <v>151</v>
      </c>
      <c r="E70" s="37" t="n">
        <v>116.79</v>
      </c>
      <c r="F70" s="37" t="n">
        <v>247.56</v>
      </c>
      <c r="G70" s="38" t="n">
        <f aca="false">E70+F70</f>
        <v>364.35</v>
      </c>
      <c r="H70" s="37" t="n">
        <v>94.21</v>
      </c>
      <c r="I70" s="37" t="n">
        <v>259.51</v>
      </c>
      <c r="J70" s="38" t="n">
        <f aca="false">H70+I70</f>
        <v>353.72</v>
      </c>
      <c r="K70" s="37" t="n">
        <v>79.49</v>
      </c>
      <c r="L70" s="37" t="n">
        <v>250.09</v>
      </c>
      <c r="M70" s="38" t="n">
        <f aca="false">K70+L70</f>
        <v>329.58</v>
      </c>
      <c r="N70" s="38" t="n">
        <f aca="false">IF(Premissas!$C$6=2022,G70,IF(Premissas!$C$6=2023,J70,IF(Premissas!$C$6=2024,M70,AVERAGE(G70,J70,M70))))</f>
        <v>329.58</v>
      </c>
      <c r="O70" s="37" t="n">
        <v>27.85</v>
      </c>
    </row>
    <row r="71" customFormat="false" ht="14.25" hidden="false" customHeight="true" outlineLevel="0" collapsed="false">
      <c r="A71" s="13" t="s">
        <v>228</v>
      </c>
      <c r="B71" s="17" t="s">
        <v>167</v>
      </c>
      <c r="C71" s="17" t="n">
        <v>0</v>
      </c>
      <c r="D71" s="23" t="s">
        <v>151</v>
      </c>
      <c r="E71" s="37" t="n">
        <v>122.14</v>
      </c>
      <c r="F71" s="37" t="n">
        <v>231.69</v>
      </c>
      <c r="G71" s="38" t="n">
        <f aca="false">E71+F71</f>
        <v>353.83</v>
      </c>
      <c r="H71" s="37" t="n">
        <v>111.24</v>
      </c>
      <c r="I71" s="37" t="n">
        <v>266.47</v>
      </c>
      <c r="J71" s="38" t="n">
        <f aca="false">H71+I71</f>
        <v>377.71</v>
      </c>
      <c r="K71" s="37" t="n">
        <v>69.45</v>
      </c>
      <c r="L71" s="37" t="n">
        <v>235.59</v>
      </c>
      <c r="M71" s="38" t="n">
        <f aca="false">K71+L71</f>
        <v>305.04</v>
      </c>
      <c r="N71" s="38" t="n">
        <f aca="false">IF(Premissas!$C$6=2022,G71,IF(Premissas!$C$6=2023,J71,IF(Premissas!$C$6=2024,M71,AVERAGE(G71,J71,M71))))</f>
        <v>305.04</v>
      </c>
      <c r="O71" s="37" t="n">
        <v>16</v>
      </c>
    </row>
    <row r="72" customFormat="false" ht="14.25" hidden="false" customHeight="true" outlineLevel="0" collapsed="false">
      <c r="A72" s="13" t="s">
        <v>229</v>
      </c>
      <c r="B72" s="17" t="s">
        <v>230</v>
      </c>
      <c r="C72" s="17" t="n">
        <v>1</v>
      </c>
      <c r="D72" s="23" t="s">
        <v>154</v>
      </c>
      <c r="E72" s="37" t="n">
        <v>113.43</v>
      </c>
      <c r="F72" s="37" t="n">
        <v>218.69</v>
      </c>
      <c r="G72" s="38" t="n">
        <f aca="false">E72+F72</f>
        <v>332.12</v>
      </c>
      <c r="H72" s="37" t="n">
        <v>107.54</v>
      </c>
      <c r="I72" s="37" t="n">
        <v>276.71</v>
      </c>
      <c r="J72" s="38" t="n">
        <f aca="false">H72+I72</f>
        <v>384.25</v>
      </c>
      <c r="K72" s="37" t="n">
        <v>97.69</v>
      </c>
      <c r="L72" s="37" t="n">
        <v>219.19</v>
      </c>
      <c r="M72" s="38" t="n">
        <f aca="false">K72+L72</f>
        <v>316.88</v>
      </c>
      <c r="N72" s="38" t="n">
        <f aca="false">IF(Premissas!$C$6=2022,G72,IF(Premissas!$C$6=2023,J72,IF(Premissas!$C$6=2024,M72,AVERAGE(G72,J72,M72))))</f>
        <v>316.88</v>
      </c>
      <c r="O72" s="37" t="n">
        <v>31.74</v>
      </c>
    </row>
    <row r="73" customFormat="false" ht="14.25" hidden="false" customHeight="true" outlineLevel="0" collapsed="false">
      <c r="A73" s="13" t="s">
        <v>231</v>
      </c>
      <c r="B73" s="17" t="s">
        <v>232</v>
      </c>
      <c r="C73" s="17" t="n">
        <v>1</v>
      </c>
      <c r="D73" s="23" t="s">
        <v>154</v>
      </c>
      <c r="E73" s="37" t="n">
        <v>134.33</v>
      </c>
      <c r="F73" s="37" t="n">
        <v>263.8</v>
      </c>
      <c r="G73" s="38" t="n">
        <f aca="false">E73+F73</f>
        <v>398.13</v>
      </c>
      <c r="H73" s="37" t="n">
        <v>121.17</v>
      </c>
      <c r="I73" s="37" t="n">
        <v>290.41</v>
      </c>
      <c r="J73" s="38" t="n">
        <f aca="false">H73+I73</f>
        <v>411.58</v>
      </c>
      <c r="K73" s="37" t="n">
        <v>107.28</v>
      </c>
      <c r="L73" s="37" t="n">
        <v>285.33</v>
      </c>
      <c r="M73" s="38" t="n">
        <f aca="false">K73+L73</f>
        <v>392.61</v>
      </c>
      <c r="N73" s="38" t="n">
        <f aca="false">IF(Premissas!$C$6=2022,G73,IF(Premissas!$C$6=2023,J73,IF(Premissas!$C$6=2024,M73,AVERAGE(G73,J73,M73))))</f>
        <v>392.61</v>
      </c>
      <c r="O73" s="37" t="n">
        <v>31.83</v>
      </c>
    </row>
    <row r="74" customFormat="false" ht="14.25" hidden="false" customHeight="true" outlineLevel="0" collapsed="false">
      <c r="A74" s="13" t="s">
        <v>233</v>
      </c>
      <c r="B74" s="17" t="s">
        <v>221</v>
      </c>
      <c r="C74" s="17" t="n">
        <v>1</v>
      </c>
      <c r="D74" s="23" t="s">
        <v>154</v>
      </c>
      <c r="E74" s="37" t="n">
        <v>117.97</v>
      </c>
      <c r="F74" s="37" t="n">
        <v>263.95</v>
      </c>
      <c r="G74" s="38" t="n">
        <f aca="false">E74+F74</f>
        <v>381.92</v>
      </c>
      <c r="H74" s="37" t="n">
        <v>101.8</v>
      </c>
      <c r="I74" s="37" t="n">
        <v>285.08</v>
      </c>
      <c r="J74" s="38" t="n">
        <f aca="false">H74+I74</f>
        <v>386.88</v>
      </c>
      <c r="K74" s="37" t="n">
        <v>98.99</v>
      </c>
      <c r="L74" s="37" t="n">
        <v>265.77</v>
      </c>
      <c r="M74" s="38" t="n">
        <f aca="false">K74+L74</f>
        <v>364.76</v>
      </c>
      <c r="N74" s="38" t="n">
        <f aca="false">IF(Premissas!$C$6=2022,G74,IF(Premissas!$C$6=2023,J74,IF(Premissas!$C$6=2024,M74,AVERAGE(G74,J74,M74))))</f>
        <v>364.76</v>
      </c>
      <c r="O74" s="37" t="n">
        <v>12.17</v>
      </c>
    </row>
    <row r="75" customFormat="false" ht="14.25" hidden="false" customHeight="true" outlineLevel="0" collapsed="false">
      <c r="A75" s="13" t="s">
        <v>234</v>
      </c>
      <c r="B75" s="17" t="s">
        <v>164</v>
      </c>
      <c r="C75" s="17" t="n">
        <v>0</v>
      </c>
      <c r="D75" s="23" t="s">
        <v>151</v>
      </c>
      <c r="E75" s="37" t="n">
        <v>126.25</v>
      </c>
      <c r="F75" s="37" t="n">
        <v>250.04</v>
      </c>
      <c r="G75" s="38" t="n">
        <f aca="false">E75+F75</f>
        <v>376.29</v>
      </c>
      <c r="H75" s="37" t="n">
        <v>68.52</v>
      </c>
      <c r="I75" s="37" t="n">
        <v>284.75</v>
      </c>
      <c r="J75" s="38" t="n">
        <f aca="false">H75+I75</f>
        <v>353.27</v>
      </c>
      <c r="K75" s="37" t="n">
        <v>106.86</v>
      </c>
      <c r="L75" s="37" t="n">
        <v>286.47</v>
      </c>
      <c r="M75" s="38" t="n">
        <f aca="false">K75+L75</f>
        <v>393.33</v>
      </c>
      <c r="N75" s="38" t="n">
        <f aca="false">IF(Premissas!$C$6=2022,G75,IF(Premissas!$C$6=2023,J75,IF(Premissas!$C$6=2024,M75,AVERAGE(G75,J75,M75))))</f>
        <v>393.33</v>
      </c>
      <c r="O75" s="37" t="n">
        <v>17.71</v>
      </c>
    </row>
    <row r="76" customFormat="false" ht="14.25" hidden="false" customHeight="true" outlineLevel="0" collapsed="false">
      <c r="A76" s="13" t="s">
        <v>235</v>
      </c>
      <c r="B76" s="17" t="s">
        <v>164</v>
      </c>
      <c r="C76" s="17" t="n">
        <v>0</v>
      </c>
      <c r="D76" s="23" t="s">
        <v>151</v>
      </c>
      <c r="E76" s="37" t="n">
        <v>126.25</v>
      </c>
      <c r="F76" s="37" t="n">
        <v>250.04</v>
      </c>
      <c r="G76" s="38" t="n">
        <f aca="false">E76+F76</f>
        <v>376.29</v>
      </c>
      <c r="H76" s="37" t="n">
        <v>100.39</v>
      </c>
      <c r="I76" s="37" t="n">
        <v>277.93</v>
      </c>
      <c r="J76" s="38" t="n">
        <f aca="false">H76+I76</f>
        <v>378.32</v>
      </c>
      <c r="K76" s="37" t="n">
        <v>74.28</v>
      </c>
      <c r="L76" s="37" t="n">
        <v>147.08</v>
      </c>
      <c r="M76" s="38" t="n">
        <f aca="false">K76+L76</f>
        <v>221.36</v>
      </c>
      <c r="N76" s="38" t="n">
        <f aca="false">IF(Premissas!$C$6=2022,G76,IF(Premissas!$C$6=2023,J76,IF(Premissas!$C$6=2024,M76,AVERAGE(G76,J76,M76))))</f>
        <v>221.36</v>
      </c>
      <c r="O76" s="37" t="n">
        <v>22.21</v>
      </c>
    </row>
    <row r="77" customFormat="false" ht="14.25" hidden="false" customHeight="true" outlineLevel="0" collapsed="false">
      <c r="A77" s="13" t="s">
        <v>236</v>
      </c>
      <c r="B77" s="17" t="s">
        <v>221</v>
      </c>
      <c r="C77" s="17" t="n">
        <v>1</v>
      </c>
      <c r="D77" s="23" t="s">
        <v>154</v>
      </c>
      <c r="E77" s="37" t="n">
        <v>132.06</v>
      </c>
      <c r="F77" s="37" t="n">
        <v>253.87</v>
      </c>
      <c r="G77" s="38" t="n">
        <f aca="false">E77+F77</f>
        <v>385.93</v>
      </c>
      <c r="H77" s="37" t="n">
        <v>113.31</v>
      </c>
      <c r="I77" s="37" t="n">
        <v>294.99</v>
      </c>
      <c r="J77" s="38" t="n">
        <f aca="false">H77+I77</f>
        <v>408.3</v>
      </c>
      <c r="K77" s="37" t="n">
        <v>97.64</v>
      </c>
      <c r="L77" s="37" t="n">
        <v>286.93</v>
      </c>
      <c r="M77" s="38" t="n">
        <f aca="false">K77+L77</f>
        <v>384.57</v>
      </c>
      <c r="N77" s="38" t="n">
        <f aca="false">IF(Premissas!$C$6=2022,G77,IF(Premissas!$C$6=2023,J77,IF(Premissas!$C$6=2024,M77,AVERAGE(G77,J77,M77))))</f>
        <v>384.57</v>
      </c>
      <c r="O77" s="37" t="n">
        <v>29.07</v>
      </c>
    </row>
    <row r="78" customFormat="false" ht="14.25" hidden="false" customHeight="true" outlineLevel="0" collapsed="false">
      <c r="A78" s="13" t="s">
        <v>237</v>
      </c>
      <c r="B78" s="17" t="s">
        <v>160</v>
      </c>
      <c r="C78" s="17" t="n">
        <v>0</v>
      </c>
      <c r="D78" s="23" t="s">
        <v>151</v>
      </c>
      <c r="E78" s="37" t="n">
        <v>100.24</v>
      </c>
      <c r="F78" s="37" t="n">
        <v>219.4</v>
      </c>
      <c r="G78" s="38" t="n">
        <f aca="false">E78+F78</f>
        <v>319.64</v>
      </c>
      <c r="H78" s="37" t="n">
        <v>89.15</v>
      </c>
      <c r="I78" s="37" t="n">
        <v>241.82</v>
      </c>
      <c r="J78" s="38" t="n">
        <f aca="false">H78+I78</f>
        <v>330.97</v>
      </c>
      <c r="K78" s="37" t="n">
        <v>69.99</v>
      </c>
      <c r="L78" s="37" t="n">
        <v>226.06</v>
      </c>
      <c r="M78" s="38" t="n">
        <f aca="false">K78+L78</f>
        <v>296.05</v>
      </c>
      <c r="N78" s="38" t="n">
        <f aca="false">IF(Premissas!$C$6=2022,G78,IF(Premissas!$C$6=2023,J78,IF(Premissas!$C$6=2024,M78,AVERAGE(G78,J78,M78))))</f>
        <v>296.05</v>
      </c>
      <c r="O78" s="37" t="n">
        <v>14.79</v>
      </c>
    </row>
    <row r="79" customFormat="false" ht="14.25" hidden="false" customHeight="true" outlineLevel="0" collapsed="false">
      <c r="A79" s="13" t="s">
        <v>238</v>
      </c>
      <c r="B79" s="17" t="s">
        <v>221</v>
      </c>
      <c r="C79" s="17" t="n">
        <v>1</v>
      </c>
      <c r="D79" s="23" t="s">
        <v>154</v>
      </c>
      <c r="E79" s="37" t="n">
        <v>111.19</v>
      </c>
      <c r="F79" s="37" t="n">
        <v>248.5</v>
      </c>
      <c r="G79" s="38" t="n">
        <f aca="false">E79+F79</f>
        <v>359.69</v>
      </c>
      <c r="H79" s="37" t="n">
        <v>90.01</v>
      </c>
      <c r="I79" s="37" t="n">
        <v>268.25</v>
      </c>
      <c r="J79" s="38" t="n">
        <f aca="false">H79+I79</f>
        <v>358.26</v>
      </c>
      <c r="K79" s="37" t="n">
        <v>91.84</v>
      </c>
      <c r="L79" s="37" t="n">
        <v>250.18</v>
      </c>
      <c r="M79" s="38" t="n">
        <f aca="false">K79+L79</f>
        <v>342.02</v>
      </c>
      <c r="N79" s="38" t="n">
        <f aca="false">IF(Premissas!$C$6=2022,G79,IF(Premissas!$C$6=2023,J79,IF(Premissas!$C$6=2024,M79,AVERAGE(G79,J79,M79))))</f>
        <v>342.02</v>
      </c>
      <c r="O79" s="37" t="n">
        <v>17.05</v>
      </c>
    </row>
    <row r="80" customFormat="false" ht="14.25" hidden="false" customHeight="true" outlineLevel="0" collapsed="false">
      <c r="A80" s="13" t="s">
        <v>239</v>
      </c>
      <c r="B80" s="17" t="s">
        <v>232</v>
      </c>
      <c r="C80" s="17" t="n">
        <v>0</v>
      </c>
      <c r="D80" s="23" t="s">
        <v>151</v>
      </c>
      <c r="E80" s="37" t="n">
        <v>147.99</v>
      </c>
      <c r="F80" s="37" t="n">
        <v>304.87</v>
      </c>
      <c r="G80" s="38" t="n">
        <f aca="false">E80+F80</f>
        <v>452.86</v>
      </c>
      <c r="H80" s="37" t="n">
        <v>86.11</v>
      </c>
      <c r="I80" s="37" t="n">
        <v>290.48</v>
      </c>
      <c r="J80" s="38" t="n">
        <f aca="false">H80+I80</f>
        <v>376.59</v>
      </c>
      <c r="K80" s="37" t="n">
        <v>85.88</v>
      </c>
      <c r="L80" s="37" t="n">
        <v>265.91</v>
      </c>
      <c r="M80" s="38" t="n">
        <f aca="false">K80+L80</f>
        <v>351.79</v>
      </c>
      <c r="N80" s="38" t="n">
        <f aca="false">IF(Premissas!$C$6=2022,G80,IF(Premissas!$C$6=2023,J80,IF(Premissas!$C$6=2024,M80,AVERAGE(G80,J80,M80))))</f>
        <v>351.79</v>
      </c>
      <c r="O80" s="37" t="n">
        <v>17.89</v>
      </c>
    </row>
    <row r="81" customFormat="false" ht="14.25" hidden="false" customHeight="true" outlineLevel="0" collapsed="false">
      <c r="A81" s="13" t="s">
        <v>240</v>
      </c>
      <c r="B81" s="17" t="s">
        <v>167</v>
      </c>
      <c r="C81" s="17" t="n">
        <v>0</v>
      </c>
      <c r="D81" s="23" t="s">
        <v>151</v>
      </c>
      <c r="E81" s="37" t="n">
        <v>137.44</v>
      </c>
      <c r="F81" s="37" t="n">
        <v>313.23</v>
      </c>
      <c r="G81" s="38" t="n">
        <f aca="false">E81+F81</f>
        <v>450.67</v>
      </c>
      <c r="H81" s="37" t="n">
        <v>110.19</v>
      </c>
      <c r="I81" s="37" t="n">
        <v>350.23</v>
      </c>
      <c r="J81" s="38" t="n">
        <f aca="false">H81+I81</f>
        <v>460.42</v>
      </c>
      <c r="K81" s="37" t="n">
        <v>103.58</v>
      </c>
      <c r="L81" s="37" t="n">
        <v>326.81</v>
      </c>
      <c r="M81" s="38" t="n">
        <f aca="false">K81+L81</f>
        <v>430.39</v>
      </c>
      <c r="N81" s="38" t="n">
        <f aca="false">IF(Premissas!$C$6=2022,G81,IF(Premissas!$C$6=2023,J81,IF(Premissas!$C$6=2024,M81,AVERAGE(G81,J81,M81))))</f>
        <v>430.39</v>
      </c>
      <c r="O81" s="37" t="n">
        <v>34.57</v>
      </c>
    </row>
    <row r="82" customFormat="false" ht="14.25" hidden="false" customHeight="true" outlineLevel="0" collapsed="false">
      <c r="A82" s="13" t="s">
        <v>241</v>
      </c>
      <c r="B82" s="17" t="s">
        <v>242</v>
      </c>
      <c r="C82" s="17" t="n">
        <v>1</v>
      </c>
      <c r="D82" s="23" t="s">
        <v>154</v>
      </c>
      <c r="E82" s="37" t="n">
        <v>117.13</v>
      </c>
      <c r="F82" s="37" t="n">
        <v>260.02</v>
      </c>
      <c r="G82" s="38" t="n">
        <f aca="false">E82+F82</f>
        <v>377.15</v>
      </c>
      <c r="H82" s="37" t="n">
        <v>132.83</v>
      </c>
      <c r="I82" s="37" t="n">
        <v>304.4</v>
      </c>
      <c r="J82" s="38" t="n">
        <f aca="false">H82+I82</f>
        <v>437.23</v>
      </c>
      <c r="K82" s="37" t="n">
        <v>107.59</v>
      </c>
      <c r="L82" s="37" t="n">
        <v>314.51</v>
      </c>
      <c r="M82" s="38" t="n">
        <f aca="false">K82+L82</f>
        <v>422.1</v>
      </c>
      <c r="N82" s="38" t="n">
        <f aca="false">IF(Premissas!$C$6=2022,G82,IF(Premissas!$C$6=2023,J82,IF(Premissas!$C$6=2024,M82,AVERAGE(G82,J82,M82))))</f>
        <v>422.1</v>
      </c>
      <c r="O82" s="37" t="n">
        <v>34.28</v>
      </c>
    </row>
    <row r="83" customFormat="false" ht="14.25" hidden="false" customHeight="true" outlineLevel="0" collapsed="false">
      <c r="A83" s="13" t="s">
        <v>243</v>
      </c>
      <c r="B83" s="17" t="s">
        <v>244</v>
      </c>
      <c r="C83" s="17" t="n">
        <v>1</v>
      </c>
      <c r="D83" s="23" t="s">
        <v>154</v>
      </c>
      <c r="E83" s="37" t="n">
        <v>126.62</v>
      </c>
      <c r="F83" s="37" t="n">
        <v>255.74</v>
      </c>
      <c r="G83" s="38" t="n">
        <f aca="false">E83+F83</f>
        <v>382.36</v>
      </c>
      <c r="H83" s="37" t="n">
        <v>126.64</v>
      </c>
      <c r="I83" s="37" t="n">
        <v>335.66</v>
      </c>
      <c r="J83" s="38" t="n">
        <f aca="false">H83+I83</f>
        <v>462.3</v>
      </c>
      <c r="K83" s="37" t="n">
        <v>106.62</v>
      </c>
      <c r="L83" s="37" t="n">
        <v>341.16</v>
      </c>
      <c r="M83" s="38" t="n">
        <f aca="false">K83+L83</f>
        <v>447.78</v>
      </c>
      <c r="N83" s="38" t="n">
        <f aca="false">IF(Premissas!$C$6=2022,G83,IF(Premissas!$C$6=2023,J83,IF(Premissas!$C$6=2024,M83,AVERAGE(G83,J83,M83))))</f>
        <v>447.78</v>
      </c>
      <c r="O83" s="37" t="n">
        <v>30.46</v>
      </c>
    </row>
    <row r="84" customFormat="false" ht="14.25" hidden="false" customHeight="true" outlineLevel="0" collapsed="false">
      <c r="A84" s="13" t="s">
        <v>245</v>
      </c>
      <c r="B84" s="17" t="s">
        <v>246</v>
      </c>
      <c r="C84" s="17" t="n">
        <v>1</v>
      </c>
      <c r="D84" s="23" t="s">
        <v>154</v>
      </c>
      <c r="E84" s="37" t="n">
        <v>77.86</v>
      </c>
      <c r="F84" s="37" t="n">
        <v>281.29</v>
      </c>
      <c r="G84" s="38" t="n">
        <f aca="false">E84+F84</f>
        <v>359.15</v>
      </c>
      <c r="H84" s="37" t="n">
        <v>85.69</v>
      </c>
      <c r="I84" s="37" t="n">
        <v>283.38</v>
      </c>
      <c r="J84" s="38" t="n">
        <f aca="false">H84+I84</f>
        <v>369.07</v>
      </c>
      <c r="K84" s="37" t="n">
        <v>81.3</v>
      </c>
      <c r="L84" s="37" t="n">
        <v>259.69</v>
      </c>
      <c r="M84" s="38" t="n">
        <f aca="false">K84+L84</f>
        <v>340.99</v>
      </c>
      <c r="N84" s="38" t="n">
        <f aca="false">IF(Premissas!$C$6=2022,G84,IF(Premissas!$C$6=2023,J84,IF(Premissas!$C$6=2024,M84,AVERAGE(G84,J84,M84))))</f>
        <v>340.99</v>
      </c>
      <c r="O84" s="37" t="n">
        <v>22.65</v>
      </c>
    </row>
    <row r="85" customFormat="false" ht="14.25" hidden="false" customHeight="true" outlineLevel="0" collapsed="false">
      <c r="A85" s="13" t="s">
        <v>247</v>
      </c>
      <c r="B85" s="17" t="s">
        <v>248</v>
      </c>
      <c r="C85" s="17" t="n">
        <v>1</v>
      </c>
      <c r="D85" s="23" t="s">
        <v>154</v>
      </c>
      <c r="E85" s="37" t="n">
        <v>160.63</v>
      </c>
      <c r="F85" s="37" t="n">
        <v>291.45</v>
      </c>
      <c r="G85" s="38" t="n">
        <f aca="false">E85+F85</f>
        <v>452.08</v>
      </c>
      <c r="H85" s="37" t="n">
        <v>157.82</v>
      </c>
      <c r="I85" s="37" t="n">
        <v>285.48</v>
      </c>
      <c r="J85" s="38" t="n">
        <f aca="false">H85+I85</f>
        <v>443.3</v>
      </c>
      <c r="K85" s="37" t="n">
        <v>153.49</v>
      </c>
      <c r="L85" s="37" t="n">
        <v>279.49</v>
      </c>
      <c r="M85" s="38" t="n">
        <f aca="false">K85+L85</f>
        <v>432.98</v>
      </c>
      <c r="N85" s="38" t="n">
        <f aca="false">IF(Premissas!$C$6=2022,G85,IF(Premissas!$C$6=2023,J85,IF(Premissas!$C$6=2024,M85,AVERAGE(G85,J85,M85))))</f>
        <v>432.98</v>
      </c>
      <c r="O85" s="37" t="n">
        <v>38.34</v>
      </c>
    </row>
    <row r="86" customFormat="false" ht="14.25" hidden="false" customHeight="true" outlineLevel="0" collapsed="false">
      <c r="A86" s="13" t="s">
        <v>249</v>
      </c>
      <c r="B86" s="17" t="s">
        <v>250</v>
      </c>
      <c r="C86" s="17" t="n">
        <v>1</v>
      </c>
      <c r="D86" s="23" t="s">
        <v>154</v>
      </c>
      <c r="E86" s="37" t="n">
        <v>77.88</v>
      </c>
      <c r="F86" s="37" t="n">
        <v>231.76</v>
      </c>
      <c r="G86" s="38" t="n">
        <f aca="false">E86+F86</f>
        <v>309.64</v>
      </c>
      <c r="H86" s="37" t="n">
        <v>69.48</v>
      </c>
      <c r="I86" s="37" t="n">
        <v>224.13</v>
      </c>
      <c r="J86" s="38" t="n">
        <f aca="false">H86+I86</f>
        <v>293.61</v>
      </c>
      <c r="K86" s="37" t="n">
        <v>69.02</v>
      </c>
      <c r="L86" s="37" t="n">
        <v>217.53</v>
      </c>
      <c r="M86" s="38" t="n">
        <f aca="false">K86+L86</f>
        <v>286.55</v>
      </c>
      <c r="N86" s="38" t="n">
        <f aca="false">IF(Premissas!$C$6=2022,G86,IF(Premissas!$C$6=2023,J86,IF(Premissas!$C$6=2024,M86,AVERAGE(G86,J86,M86))))</f>
        <v>286.55</v>
      </c>
      <c r="O86" s="37" t="n">
        <v>24.72</v>
      </c>
    </row>
    <row r="87" customFormat="false" ht="14.25" hidden="false" customHeight="true" outlineLevel="0" collapsed="false">
      <c r="A87" s="13" t="s">
        <v>251</v>
      </c>
      <c r="B87" s="17" t="s">
        <v>252</v>
      </c>
      <c r="C87" s="17" t="n">
        <v>1</v>
      </c>
      <c r="D87" s="23" t="s">
        <v>154</v>
      </c>
      <c r="E87" s="37" t="n">
        <v>117.59</v>
      </c>
      <c r="F87" s="37" t="n">
        <v>271.14</v>
      </c>
      <c r="G87" s="38" t="n">
        <f aca="false">E87+F87</f>
        <v>388.73</v>
      </c>
      <c r="H87" s="37" t="n">
        <v>143.43</v>
      </c>
      <c r="I87" s="37" t="n">
        <v>290.68</v>
      </c>
      <c r="J87" s="38" t="n">
        <f aca="false">H87+I87</f>
        <v>434.11</v>
      </c>
      <c r="K87" s="37" t="n">
        <v>128.33</v>
      </c>
      <c r="L87" s="37" t="n">
        <v>292.13</v>
      </c>
      <c r="M87" s="38" t="n">
        <f aca="false">K87+L87</f>
        <v>420.46</v>
      </c>
      <c r="N87" s="38" t="n">
        <f aca="false">IF(Premissas!$C$6=2022,G87,IF(Premissas!$C$6=2023,J87,IF(Premissas!$C$6=2024,M87,AVERAGE(G87,J87,M87))))</f>
        <v>420.46</v>
      </c>
      <c r="O87" s="37" t="n">
        <v>27.48</v>
      </c>
    </row>
    <row r="88" customFormat="false" ht="14.25" hidden="false" customHeight="true" outlineLevel="0" collapsed="false">
      <c r="A88" s="13" t="s">
        <v>253</v>
      </c>
      <c r="B88" s="17" t="s">
        <v>202</v>
      </c>
      <c r="C88" s="17" t="n">
        <v>1</v>
      </c>
      <c r="D88" s="23" t="s">
        <v>154</v>
      </c>
      <c r="E88" s="37" t="n">
        <v>139.33</v>
      </c>
      <c r="F88" s="37" t="n">
        <v>272.82</v>
      </c>
      <c r="G88" s="38" t="n">
        <f aca="false">E88+F88</f>
        <v>412.15</v>
      </c>
      <c r="H88" s="37" t="n">
        <v>97.83</v>
      </c>
      <c r="I88" s="37" t="n">
        <v>268.5</v>
      </c>
      <c r="J88" s="38" t="n">
        <f aca="false">H88+I88</f>
        <v>366.33</v>
      </c>
      <c r="K88" s="37" t="n">
        <v>97.89</v>
      </c>
      <c r="L88" s="37" t="n">
        <v>256.34</v>
      </c>
      <c r="M88" s="38" t="n">
        <f aca="false">K88+L88</f>
        <v>354.23</v>
      </c>
      <c r="N88" s="38" t="n">
        <f aca="false">IF(Premissas!$C$6=2022,G88,IF(Premissas!$C$6=2023,J88,IF(Premissas!$C$6=2024,M88,AVERAGE(G88,J88,M88))))</f>
        <v>354.23</v>
      </c>
      <c r="O88" s="37" t="n">
        <v>27.09</v>
      </c>
    </row>
    <row r="89" customFormat="false" ht="14.25" hidden="false" customHeight="true" outlineLevel="0" collapsed="false">
      <c r="A89" s="13" t="s">
        <v>254</v>
      </c>
      <c r="B89" s="17" t="s">
        <v>255</v>
      </c>
      <c r="C89" s="17" t="n">
        <v>1</v>
      </c>
      <c r="D89" s="23" t="s">
        <v>154</v>
      </c>
      <c r="E89" s="37" t="n">
        <v>82.36</v>
      </c>
      <c r="F89" s="37" t="n">
        <v>230.82</v>
      </c>
      <c r="G89" s="38" t="n">
        <f aca="false">E89+F89</f>
        <v>313.18</v>
      </c>
      <c r="H89" s="37" t="n">
        <v>80.98</v>
      </c>
      <c r="I89" s="37" t="n">
        <v>248.09</v>
      </c>
      <c r="J89" s="38" t="n">
        <f aca="false">H89+I89</f>
        <v>329.07</v>
      </c>
      <c r="K89" s="37" t="n">
        <v>79.69</v>
      </c>
      <c r="L89" s="37" t="n">
        <v>236.04</v>
      </c>
      <c r="M89" s="38" t="n">
        <f aca="false">K89+L89</f>
        <v>315.73</v>
      </c>
      <c r="N89" s="38" t="n">
        <f aca="false">IF(Premissas!$C$6=2022,G89,IF(Premissas!$C$6=2023,J89,IF(Premissas!$C$6=2024,M89,AVERAGE(G89,J89,M89))))</f>
        <v>315.73</v>
      </c>
      <c r="O89" s="37" t="n">
        <v>28.45</v>
      </c>
    </row>
    <row r="90" customFormat="false" ht="14.25" hidden="false" customHeight="true" outlineLevel="0" collapsed="false">
      <c r="A90" s="13" t="s">
        <v>256</v>
      </c>
      <c r="B90" s="17" t="s">
        <v>257</v>
      </c>
      <c r="C90" s="17" t="n">
        <v>1</v>
      </c>
      <c r="D90" s="23" t="s">
        <v>154</v>
      </c>
      <c r="E90" s="37" t="n">
        <v>114.95</v>
      </c>
      <c r="F90" s="37" t="n">
        <v>211.59</v>
      </c>
      <c r="G90" s="38" t="n">
        <f aca="false">E90+F90</f>
        <v>326.54</v>
      </c>
      <c r="H90" s="37" t="n">
        <v>132.23</v>
      </c>
      <c r="I90" s="37" t="n">
        <v>290.06</v>
      </c>
      <c r="J90" s="38" t="n">
        <f aca="false">H90+I90</f>
        <v>422.29</v>
      </c>
      <c r="K90" s="37" t="n">
        <v>120.64</v>
      </c>
      <c r="L90" s="37" t="n">
        <v>276.89</v>
      </c>
      <c r="M90" s="38" t="n">
        <f aca="false">K90+L90</f>
        <v>397.53</v>
      </c>
      <c r="N90" s="38" t="n">
        <f aca="false">IF(Premissas!$C$6=2022,G90,IF(Premissas!$C$6=2023,J90,IF(Premissas!$C$6=2024,M90,AVERAGE(G90,J90,M90))))</f>
        <v>397.53</v>
      </c>
      <c r="O90" s="37" t="n">
        <v>47.53</v>
      </c>
    </row>
    <row r="91" customFormat="false" ht="14.25" hidden="false" customHeight="true" outlineLevel="0" collapsed="false">
      <c r="A91" s="13" t="s">
        <v>258</v>
      </c>
      <c r="B91" s="17" t="s">
        <v>259</v>
      </c>
      <c r="C91" s="17" t="n">
        <v>1</v>
      </c>
      <c r="D91" s="23" t="s">
        <v>154</v>
      </c>
      <c r="E91" s="37" t="n">
        <v>121.87</v>
      </c>
      <c r="F91" s="37" t="n">
        <v>236.71</v>
      </c>
      <c r="G91" s="38" t="n">
        <f aca="false">E91+F91</f>
        <v>358.58</v>
      </c>
      <c r="H91" s="37" t="n">
        <v>108.31</v>
      </c>
      <c r="I91" s="37" t="n">
        <v>271.04</v>
      </c>
      <c r="J91" s="38" t="n">
        <f aca="false">H91+I91</f>
        <v>379.35</v>
      </c>
      <c r="K91" s="37" t="n">
        <v>101.36</v>
      </c>
      <c r="L91" s="37" t="n">
        <v>232.45</v>
      </c>
      <c r="M91" s="38" t="n">
        <f aca="false">K91+L91</f>
        <v>333.81</v>
      </c>
      <c r="N91" s="38" t="n">
        <f aca="false">IF(Premissas!$C$6=2022,G91,IF(Premissas!$C$6=2023,J91,IF(Premissas!$C$6=2024,M91,AVERAGE(G91,J91,M91))))</f>
        <v>333.81</v>
      </c>
      <c r="O91" s="37" t="n">
        <v>31.72</v>
      </c>
    </row>
    <row r="92" customFormat="false" ht="14.25" hidden="false" customHeight="true" outlineLevel="0" collapsed="false">
      <c r="A92" s="13" t="s">
        <v>260</v>
      </c>
      <c r="B92" s="17" t="s">
        <v>261</v>
      </c>
      <c r="C92" s="17" t="n">
        <v>1</v>
      </c>
      <c r="D92" s="23" t="s">
        <v>154</v>
      </c>
      <c r="E92" s="37" t="n">
        <v>111.31</v>
      </c>
      <c r="F92" s="37" t="n">
        <v>223.55</v>
      </c>
      <c r="G92" s="38" t="n">
        <f aca="false">E92+F92</f>
        <v>334.86</v>
      </c>
      <c r="H92" s="37" t="n">
        <v>97.16</v>
      </c>
      <c r="I92" s="37" t="n">
        <v>228.94</v>
      </c>
      <c r="J92" s="38" t="n">
        <f aca="false">H92+I92</f>
        <v>326.1</v>
      </c>
      <c r="K92" s="37" t="n">
        <v>100.17</v>
      </c>
      <c r="L92" s="37" t="n">
        <v>225.44</v>
      </c>
      <c r="M92" s="38" t="n">
        <f aca="false">K92+L92</f>
        <v>325.61</v>
      </c>
      <c r="N92" s="38" t="n">
        <f aca="false">IF(Premissas!$C$6=2022,G92,IF(Premissas!$C$6=2023,J92,IF(Premissas!$C$6=2024,M92,AVERAGE(G92,J92,M92))))</f>
        <v>325.61</v>
      </c>
      <c r="O92" s="37" t="n">
        <v>31.24</v>
      </c>
    </row>
    <row r="93" customFormat="false" ht="14.25" hidden="false" customHeight="true" outlineLevel="0" collapsed="false">
      <c r="A93" s="13" t="s">
        <v>262</v>
      </c>
      <c r="B93" s="17" t="s">
        <v>263</v>
      </c>
      <c r="C93" s="17" t="n">
        <v>1</v>
      </c>
      <c r="D93" s="23" t="s">
        <v>154</v>
      </c>
      <c r="E93" s="37" t="n">
        <v>65.01</v>
      </c>
      <c r="F93" s="37" t="n">
        <v>223.15</v>
      </c>
      <c r="G93" s="38" t="n">
        <f aca="false">E93+F93</f>
        <v>288.16</v>
      </c>
      <c r="H93" s="37" t="n">
        <v>70.09</v>
      </c>
      <c r="I93" s="37" t="n">
        <v>248.11</v>
      </c>
      <c r="J93" s="38" t="n">
        <f aca="false">H93+I93</f>
        <v>318.2</v>
      </c>
      <c r="K93" s="37" t="n">
        <v>63.81</v>
      </c>
      <c r="L93" s="37" t="n">
        <v>263.18</v>
      </c>
      <c r="M93" s="38" t="n">
        <f aca="false">K93+L93</f>
        <v>326.99</v>
      </c>
      <c r="N93" s="38" t="n">
        <f aca="false">IF(Premissas!$C$6=2022,G93,IF(Premissas!$C$6=2023,J93,IF(Premissas!$C$6=2024,M93,AVERAGE(G93,J93,M93))))</f>
        <v>326.99</v>
      </c>
      <c r="O93" s="37" t="n">
        <v>22.8</v>
      </c>
    </row>
    <row r="94" customFormat="false" ht="14.25" hidden="false" customHeight="true" outlineLevel="0" collapsed="false">
      <c r="A94" s="13" t="s">
        <v>264</v>
      </c>
      <c r="B94" s="17" t="s">
        <v>221</v>
      </c>
      <c r="C94" s="17" t="n">
        <v>0</v>
      </c>
      <c r="D94" s="23" t="s">
        <v>151</v>
      </c>
      <c r="E94" s="37" t="n">
        <v>121.74</v>
      </c>
      <c r="F94" s="37" t="n">
        <v>255.26</v>
      </c>
      <c r="G94" s="38" t="n">
        <f aca="false">E94+F94</f>
        <v>377</v>
      </c>
      <c r="H94" s="37" t="n">
        <v>101.36</v>
      </c>
      <c r="I94" s="37" t="n">
        <v>309.87</v>
      </c>
      <c r="J94" s="38" t="n">
        <f aca="false">H94+I94</f>
        <v>411.23</v>
      </c>
      <c r="K94" s="37" t="n">
        <v>85.92</v>
      </c>
      <c r="L94" s="37" t="n">
        <v>262.25</v>
      </c>
      <c r="M94" s="38" t="n">
        <f aca="false">K94+L94</f>
        <v>348.17</v>
      </c>
      <c r="N94" s="38" t="n">
        <f aca="false">IF(Premissas!$C$6=2022,G94,IF(Premissas!$C$6=2023,J94,IF(Premissas!$C$6=2024,M94,AVERAGE(G94,J94,M94))))</f>
        <v>348.17</v>
      </c>
      <c r="O94" s="37" t="n">
        <v>22.85</v>
      </c>
    </row>
    <row r="95" customFormat="false" ht="14.25" hidden="false" customHeight="true" outlineLevel="0" collapsed="false">
      <c r="A95" s="13" t="s">
        <v>265</v>
      </c>
      <c r="B95" s="17" t="s">
        <v>266</v>
      </c>
      <c r="C95" s="17" t="n">
        <v>1</v>
      </c>
      <c r="D95" s="23" t="s">
        <v>154</v>
      </c>
      <c r="E95" s="37" t="n">
        <v>80.32</v>
      </c>
      <c r="F95" s="37" t="n">
        <v>258.24</v>
      </c>
      <c r="G95" s="38" t="n">
        <f aca="false">E95+F95</f>
        <v>338.56</v>
      </c>
      <c r="H95" s="37" t="n">
        <v>69.69</v>
      </c>
      <c r="I95" s="37" t="n">
        <v>239.69</v>
      </c>
      <c r="J95" s="38" t="n">
        <f aca="false">H95+I95</f>
        <v>309.38</v>
      </c>
      <c r="K95" s="37" t="n">
        <v>74.29</v>
      </c>
      <c r="L95" s="37" t="n">
        <v>250.86</v>
      </c>
      <c r="M95" s="38" t="n">
        <f aca="false">K95+L95</f>
        <v>325.15</v>
      </c>
      <c r="N95" s="38" t="n">
        <f aca="false">IF(Premissas!$C$6=2022,G95,IF(Premissas!$C$6=2023,J95,IF(Premissas!$C$6=2024,M95,AVERAGE(G95,J95,M95))))</f>
        <v>325.15</v>
      </c>
      <c r="O95" s="37" t="n">
        <v>46.35</v>
      </c>
    </row>
    <row r="96" customFormat="false" ht="14.25" hidden="false" customHeight="true" outlineLevel="0" collapsed="false">
      <c r="A96" s="13" t="s">
        <v>267</v>
      </c>
      <c r="B96" s="17" t="s">
        <v>156</v>
      </c>
      <c r="C96" s="17" t="n">
        <v>0</v>
      </c>
      <c r="D96" s="23" t="s">
        <v>157</v>
      </c>
      <c r="E96" s="37" t="n">
        <v>95.82</v>
      </c>
      <c r="F96" s="37" t="n">
        <v>235.34</v>
      </c>
      <c r="G96" s="38" t="n">
        <f aca="false">E96+F96</f>
        <v>331.16</v>
      </c>
      <c r="H96" s="37" t="n">
        <v>77.27</v>
      </c>
      <c r="I96" s="37" t="n">
        <v>274.33</v>
      </c>
      <c r="J96" s="38" t="n">
        <f aca="false">H96+I96</f>
        <v>351.6</v>
      </c>
      <c r="K96" s="37" t="n">
        <v>76.68</v>
      </c>
      <c r="L96" s="37" t="n">
        <v>208.54</v>
      </c>
      <c r="M96" s="38" t="n">
        <f aca="false">K96+L96</f>
        <v>285.22</v>
      </c>
      <c r="N96" s="38" t="n">
        <f aca="false">IF(Premissas!$C$6=2022,G96,IF(Premissas!$C$6=2023,J96,IF(Premissas!$C$6=2024,M96,AVERAGE(G96,J96,M96))))</f>
        <v>285.22</v>
      </c>
      <c r="O96" s="37" t="n">
        <v>22.24</v>
      </c>
    </row>
    <row r="97" customFormat="false" ht="14.25" hidden="false" customHeight="true" outlineLevel="0" collapsed="false">
      <c r="A97" s="13" t="s">
        <v>268</v>
      </c>
      <c r="B97" s="17" t="s">
        <v>248</v>
      </c>
      <c r="C97" s="17" t="n">
        <v>1</v>
      </c>
      <c r="D97" s="23" t="s">
        <v>154</v>
      </c>
      <c r="E97" s="37" t="n">
        <v>166.28</v>
      </c>
      <c r="F97" s="37" t="n">
        <v>319.5</v>
      </c>
      <c r="G97" s="38" t="n">
        <f aca="false">E97+F97</f>
        <v>485.78</v>
      </c>
      <c r="H97" s="37" t="n">
        <v>161.87</v>
      </c>
      <c r="I97" s="37" t="n">
        <v>346.72</v>
      </c>
      <c r="J97" s="38" t="n">
        <f aca="false">H97+I97</f>
        <v>508.59</v>
      </c>
      <c r="K97" s="37" t="n">
        <v>144.46</v>
      </c>
      <c r="L97" s="37" t="n">
        <v>347.41</v>
      </c>
      <c r="M97" s="38" t="n">
        <f aca="false">K97+L97</f>
        <v>491.87</v>
      </c>
      <c r="N97" s="38" t="n">
        <f aca="false">IF(Premissas!$C$6=2022,G97,IF(Premissas!$C$6=2023,J97,IF(Premissas!$C$6=2024,M97,AVERAGE(G97,J97,M97))))</f>
        <v>491.87</v>
      </c>
      <c r="O97" s="37" t="n">
        <v>27.02</v>
      </c>
    </row>
    <row r="98" customFormat="false" ht="14.25" hidden="false" customHeight="true" outlineLevel="0" collapsed="false">
      <c r="A98" s="13" t="s">
        <v>269</v>
      </c>
      <c r="B98" s="17" t="s">
        <v>160</v>
      </c>
      <c r="C98" s="17" t="n">
        <v>0</v>
      </c>
      <c r="D98" s="23" t="s">
        <v>151</v>
      </c>
      <c r="E98" s="37" t="n">
        <v>114.48</v>
      </c>
      <c r="F98" s="37" t="n">
        <v>216.6</v>
      </c>
      <c r="G98" s="38" t="n">
        <f aca="false">E98+F98</f>
        <v>331.08</v>
      </c>
      <c r="H98" s="37" t="n">
        <v>93.2</v>
      </c>
      <c r="I98" s="37" t="n">
        <v>247.86</v>
      </c>
      <c r="J98" s="38" t="n">
        <f aca="false">H98+I98</f>
        <v>341.06</v>
      </c>
      <c r="K98" s="37" t="n">
        <v>90.28</v>
      </c>
      <c r="L98" s="37" t="n">
        <v>262.89</v>
      </c>
      <c r="M98" s="38" t="n">
        <f aca="false">K98+L98</f>
        <v>353.17</v>
      </c>
      <c r="N98" s="38" t="n">
        <f aca="false">IF(Premissas!$C$6=2022,G98,IF(Premissas!$C$6=2023,J98,IF(Premissas!$C$6=2024,M98,AVERAGE(G98,J98,M98))))</f>
        <v>353.17</v>
      </c>
      <c r="O98" s="37" t="n">
        <v>20.44</v>
      </c>
    </row>
    <row r="99" customFormat="false" ht="14.25" hidden="false" customHeight="true" outlineLevel="0" collapsed="false">
      <c r="A99" s="13" t="s">
        <v>270</v>
      </c>
      <c r="B99" s="17" t="s">
        <v>271</v>
      </c>
      <c r="C99" s="17" t="n">
        <v>1</v>
      </c>
      <c r="D99" s="23" t="s">
        <v>154</v>
      </c>
      <c r="E99" s="37" t="n">
        <v>144.91</v>
      </c>
      <c r="F99" s="37" t="n">
        <v>335.75</v>
      </c>
      <c r="G99" s="38" t="n">
        <f aca="false">E99+F99</f>
        <v>480.66</v>
      </c>
      <c r="H99" s="37" t="n">
        <v>127.2</v>
      </c>
      <c r="I99" s="37" t="n">
        <v>392.71</v>
      </c>
      <c r="J99" s="38" t="n">
        <f aca="false">H99+I99</f>
        <v>519.91</v>
      </c>
      <c r="K99" s="37" t="n">
        <v>123.4</v>
      </c>
      <c r="L99" s="37" t="n">
        <v>369.3</v>
      </c>
      <c r="M99" s="38" t="n">
        <f aca="false">K99+L99</f>
        <v>492.7</v>
      </c>
      <c r="N99" s="38" t="n">
        <f aca="false">IF(Premissas!$C$6=2022,G99,IF(Premissas!$C$6=2023,J99,IF(Premissas!$C$6=2024,M99,AVERAGE(G99,J99,M99))))</f>
        <v>492.7</v>
      </c>
      <c r="O99" s="37" t="n">
        <v>12.3</v>
      </c>
    </row>
    <row r="100" customFormat="false" ht="14.25" hidden="false" customHeight="true" outlineLevel="0" collapsed="false">
      <c r="A100" s="13" t="s">
        <v>272</v>
      </c>
      <c r="B100" s="17" t="s">
        <v>273</v>
      </c>
      <c r="C100" s="17" t="n">
        <v>1</v>
      </c>
      <c r="D100" s="23" t="s">
        <v>154</v>
      </c>
      <c r="E100" s="37" t="n">
        <v>83.6</v>
      </c>
      <c r="F100" s="37" t="n">
        <v>305.16</v>
      </c>
      <c r="G100" s="38" t="n">
        <f aca="false">E100+F100</f>
        <v>388.76</v>
      </c>
      <c r="H100" s="37" t="n">
        <v>93.65</v>
      </c>
      <c r="I100" s="37" t="n">
        <v>320.94</v>
      </c>
      <c r="J100" s="38" t="n">
        <f aca="false">H100+I100</f>
        <v>414.59</v>
      </c>
      <c r="K100" s="37" t="n">
        <v>87.9</v>
      </c>
      <c r="L100" s="37" t="n">
        <v>316.73</v>
      </c>
      <c r="M100" s="38" t="n">
        <f aca="false">K100+L100</f>
        <v>404.63</v>
      </c>
      <c r="N100" s="38" t="n">
        <f aca="false">IF(Premissas!$C$6=2022,G100,IF(Premissas!$C$6=2023,J100,IF(Premissas!$C$6=2024,M100,AVERAGE(G100,J100,M100))))</f>
        <v>404.63</v>
      </c>
      <c r="O100" s="37" t="n">
        <v>22.68</v>
      </c>
    </row>
    <row r="101" customFormat="false" ht="14.25" hidden="false" customHeight="true" outlineLevel="0" collapsed="false">
      <c r="A101" s="13" t="s">
        <v>274</v>
      </c>
      <c r="B101" s="17" t="s">
        <v>156</v>
      </c>
      <c r="C101" s="17" t="n">
        <v>0</v>
      </c>
      <c r="D101" s="23" t="s">
        <v>157</v>
      </c>
      <c r="E101" s="37" t="n">
        <v>96.69</v>
      </c>
      <c r="F101" s="37" t="n">
        <v>196.57</v>
      </c>
      <c r="G101" s="38" t="n">
        <f aca="false">E101+F101</f>
        <v>293.26</v>
      </c>
      <c r="H101" s="37" t="n">
        <v>79.77</v>
      </c>
      <c r="I101" s="37" t="n">
        <v>178.76</v>
      </c>
      <c r="J101" s="38" t="n">
        <f aca="false">H101+I101</f>
        <v>258.53</v>
      </c>
      <c r="K101" s="37" t="n">
        <v>85.43</v>
      </c>
      <c r="L101" s="37" t="n">
        <v>204.96</v>
      </c>
      <c r="M101" s="38" t="n">
        <f aca="false">K101+L101</f>
        <v>290.39</v>
      </c>
      <c r="N101" s="38" t="n">
        <f aca="false">IF(Premissas!$C$6=2022,G101,IF(Premissas!$C$6=2023,J101,IF(Premissas!$C$6=2024,M101,AVERAGE(G101,J101,M101))))</f>
        <v>290.39</v>
      </c>
      <c r="O101" s="37" t="n">
        <v>46.85</v>
      </c>
    </row>
    <row r="102" customFormat="false" ht="14.25" hidden="false" customHeight="true" outlineLevel="0" collapsed="false">
      <c r="A102" s="13" t="s">
        <v>275</v>
      </c>
      <c r="B102" s="17" t="s">
        <v>156</v>
      </c>
      <c r="C102" s="17" t="n">
        <v>0</v>
      </c>
      <c r="D102" s="23" t="s">
        <v>157</v>
      </c>
      <c r="E102" s="37" t="n">
        <v>83.28</v>
      </c>
      <c r="F102" s="37" t="n">
        <v>197.69</v>
      </c>
      <c r="G102" s="38" t="n">
        <f aca="false">E102+F102</f>
        <v>280.97</v>
      </c>
      <c r="H102" s="37" t="n">
        <v>69.84</v>
      </c>
      <c r="I102" s="37" t="n">
        <v>238.26</v>
      </c>
      <c r="J102" s="38" t="n">
        <f aca="false">H102+I102</f>
        <v>308.1</v>
      </c>
      <c r="K102" s="37" t="n">
        <v>70.74</v>
      </c>
      <c r="L102" s="37" t="n">
        <v>225.59</v>
      </c>
      <c r="M102" s="38" t="n">
        <f aca="false">K102+L102</f>
        <v>296.33</v>
      </c>
      <c r="N102" s="38" t="n">
        <f aca="false">IF(Premissas!$C$6=2022,G102,IF(Premissas!$C$6=2023,J102,IF(Premissas!$C$6=2024,M102,AVERAGE(G102,J102,M102))))</f>
        <v>296.33</v>
      </c>
      <c r="O102" s="37" t="n">
        <v>16.89</v>
      </c>
    </row>
    <row r="103" customFormat="false" ht="14.25" hidden="false" customHeight="true" outlineLevel="0" collapsed="false">
      <c r="A103" s="13" t="s">
        <v>276</v>
      </c>
      <c r="B103" s="17" t="s">
        <v>160</v>
      </c>
      <c r="C103" s="17" t="n">
        <v>1</v>
      </c>
      <c r="D103" s="23" t="s">
        <v>154</v>
      </c>
      <c r="E103" s="37" t="n">
        <v>116.79</v>
      </c>
      <c r="F103" s="37" t="n">
        <v>249.61</v>
      </c>
      <c r="G103" s="38" t="n">
        <f aca="false">E103+F103</f>
        <v>366.4</v>
      </c>
      <c r="H103" s="37" t="n">
        <v>94.21</v>
      </c>
      <c r="I103" s="37" t="n">
        <v>276.25</v>
      </c>
      <c r="J103" s="38" t="n">
        <f aca="false">H103+I103</f>
        <v>370.46</v>
      </c>
      <c r="K103" s="37" t="n">
        <v>106.84</v>
      </c>
      <c r="L103" s="37" t="n">
        <v>270.8</v>
      </c>
      <c r="M103" s="38" t="n">
        <f aca="false">K103+L103</f>
        <v>377.64</v>
      </c>
      <c r="N103" s="38" t="n">
        <f aca="false">IF(Premissas!$C$6=2022,G103,IF(Premissas!$C$6=2023,J103,IF(Premissas!$C$6=2024,M103,AVERAGE(G103,J103,M103))))</f>
        <v>377.64</v>
      </c>
      <c r="O103" s="37" t="n">
        <v>25.18</v>
      </c>
    </row>
    <row r="104" customFormat="false" ht="14.25" hidden="false" customHeight="true" outlineLevel="0" collapsed="false">
      <c r="A104" s="13" t="s">
        <v>277</v>
      </c>
      <c r="B104" s="17" t="s">
        <v>263</v>
      </c>
      <c r="C104" s="17" t="n">
        <v>0</v>
      </c>
      <c r="D104" s="23" t="s">
        <v>151</v>
      </c>
      <c r="E104" s="37" t="n">
        <v>65.01</v>
      </c>
      <c r="F104" s="37" t="n">
        <v>213.02</v>
      </c>
      <c r="G104" s="38" t="n">
        <f aca="false">E104+F104</f>
        <v>278.03</v>
      </c>
      <c r="H104" s="37" t="n">
        <v>70.09</v>
      </c>
      <c r="I104" s="37" t="n">
        <v>163.11</v>
      </c>
      <c r="J104" s="38" t="n">
        <f aca="false">H104+I104</f>
        <v>233.2</v>
      </c>
      <c r="K104" s="37" t="n">
        <v>63.81</v>
      </c>
      <c r="L104" s="37" t="n">
        <v>214.42</v>
      </c>
      <c r="M104" s="38" t="n">
        <f aca="false">K104+L104</f>
        <v>278.23</v>
      </c>
      <c r="N104" s="38" t="n">
        <f aca="false">IF(Premissas!$C$6=2022,G104,IF(Premissas!$C$6=2023,J104,IF(Premissas!$C$6=2024,M104,AVERAGE(G104,J104,M104))))</f>
        <v>278.23</v>
      </c>
      <c r="O104" s="37" t="n">
        <v>22.8</v>
      </c>
    </row>
    <row r="105" customFormat="false" ht="14.25" hidden="false" customHeight="true" outlineLevel="0" collapsed="false">
      <c r="A105" s="13" t="s">
        <v>278</v>
      </c>
      <c r="B105" s="17" t="s">
        <v>160</v>
      </c>
      <c r="C105" s="17" t="n">
        <v>0</v>
      </c>
      <c r="D105" s="23" t="s">
        <v>151</v>
      </c>
      <c r="E105" s="37" t="n">
        <v>116.79</v>
      </c>
      <c r="F105" s="37" t="n">
        <v>195.9</v>
      </c>
      <c r="G105" s="38" t="n">
        <f aca="false">E105+F105</f>
        <v>312.69</v>
      </c>
      <c r="H105" s="37" t="n">
        <v>94.21</v>
      </c>
      <c r="I105" s="37" t="n">
        <v>262.58</v>
      </c>
      <c r="J105" s="38" t="n">
        <f aca="false">H105+I105</f>
        <v>356.79</v>
      </c>
      <c r="K105" s="37" t="n">
        <v>94.21</v>
      </c>
      <c r="L105" s="37" t="n">
        <v>275.64</v>
      </c>
      <c r="M105" s="38" t="n">
        <f aca="false">K105+L105</f>
        <v>369.85</v>
      </c>
      <c r="N105" s="38" t="n">
        <f aca="false">IF(Premissas!$C$6=2022,G105,IF(Premissas!$C$6=2023,J105,IF(Premissas!$C$6=2024,M105,AVERAGE(G105,J105,M105))))</f>
        <v>369.85</v>
      </c>
      <c r="O105" s="37" t="n">
        <v>25.68</v>
      </c>
    </row>
    <row r="106" customFormat="false" ht="14.25" hidden="false" customHeight="true" outlineLevel="0" collapsed="false">
      <c r="A106" s="13" t="s">
        <v>279</v>
      </c>
      <c r="B106" s="17" t="s">
        <v>280</v>
      </c>
      <c r="C106" s="17" t="n">
        <v>1</v>
      </c>
      <c r="D106" s="23" t="s">
        <v>154</v>
      </c>
      <c r="E106" s="37" t="n">
        <v>109.44</v>
      </c>
      <c r="F106" s="37" t="n">
        <v>317.39</v>
      </c>
      <c r="G106" s="38" t="n">
        <f aca="false">E106+F106</f>
        <v>426.83</v>
      </c>
      <c r="H106" s="37" t="n">
        <v>109.44</v>
      </c>
      <c r="I106" s="37" t="n">
        <v>317.39</v>
      </c>
      <c r="J106" s="38" t="n">
        <f aca="false">H106+I106</f>
        <v>426.83</v>
      </c>
      <c r="K106" s="37" t="n">
        <v>98.68</v>
      </c>
      <c r="L106" s="37" t="n">
        <v>302.12</v>
      </c>
      <c r="M106" s="38" t="n">
        <f aca="false">K106+L106</f>
        <v>400.8</v>
      </c>
      <c r="N106" s="38" t="n">
        <f aca="false">IF(Premissas!$C$6=2022,G106,IF(Premissas!$C$6=2023,J106,IF(Premissas!$C$6=2024,M106,AVERAGE(G106,J106,M106))))</f>
        <v>400.8</v>
      </c>
      <c r="O106" s="37" t="n">
        <v>16.78</v>
      </c>
    </row>
    <row r="107" customFormat="false" ht="14.25" hidden="false" customHeight="true" outlineLevel="0" collapsed="false">
      <c r="A107" s="13" t="s">
        <v>281</v>
      </c>
      <c r="B107" s="17" t="s">
        <v>282</v>
      </c>
      <c r="C107" s="17" t="n">
        <v>1</v>
      </c>
      <c r="D107" s="23" t="s">
        <v>154</v>
      </c>
      <c r="E107" s="37" t="n">
        <v>182.53</v>
      </c>
      <c r="F107" s="37" t="n">
        <v>272.76</v>
      </c>
      <c r="G107" s="38" t="n">
        <f aca="false">E107+F107</f>
        <v>455.29</v>
      </c>
      <c r="H107" s="37" t="n">
        <v>182.53</v>
      </c>
      <c r="I107" s="37" t="n">
        <v>272.76</v>
      </c>
      <c r="J107" s="38" t="n">
        <f aca="false">H107+I107</f>
        <v>455.29</v>
      </c>
      <c r="K107" s="37" t="n">
        <v>143.78</v>
      </c>
      <c r="L107" s="37" t="n">
        <v>369.8</v>
      </c>
      <c r="M107" s="38" t="n">
        <f aca="false">K107+L107</f>
        <v>513.58</v>
      </c>
      <c r="N107" s="38" t="n">
        <f aca="false">IF(Premissas!$C$6=2022,G107,IF(Premissas!$C$6=2023,J107,IF(Premissas!$C$6=2024,M107,AVERAGE(G107,J107,M107))))</f>
        <v>513.58</v>
      </c>
      <c r="O107" s="37" t="n">
        <v>24.15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N4" activeCellId="0" sqref="N4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3"/>
    <col collapsed="false" customWidth="true" hidden="false" outlineLevel="0" max="3" min="3" style="1" width="17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17"/>
    <col collapsed="false" customWidth="true" hidden="false" outlineLevel="0" max="7" min="7" style="1" width="10"/>
    <col collapsed="false" customWidth="true" hidden="false" outlineLevel="0" max="8" min="8" style="1" width="17"/>
    <col collapsed="false" customWidth="true" hidden="false" outlineLevel="0" max="10" min="9" style="1" width="10"/>
    <col collapsed="false" customWidth="true" hidden="false" outlineLevel="0" max="11" min="11" style="1" width="18"/>
  </cols>
  <sheetData>
    <row r="1" customFormat="false" ht="17.25" hidden="false" customHeight="true" outlineLevel="0" collapsed="false">
      <c r="A1" s="9" t="s">
        <v>283</v>
      </c>
    </row>
    <row r="2" customFormat="false" ht="14.25" hidden="false" customHeight="true" outlineLevel="0" collapsed="false">
      <c r="A2" s="26" t="s">
        <v>284</v>
      </c>
    </row>
    <row r="4" customFormat="false" ht="39" hidden="false" customHeight="true" outlineLevel="0" collapsed="false">
      <c r="A4" s="36" t="s">
        <v>135</v>
      </c>
      <c r="B4" s="36" t="s">
        <v>285</v>
      </c>
      <c r="C4" s="36" t="s">
        <v>286</v>
      </c>
      <c r="D4" s="36" t="s">
        <v>287</v>
      </c>
      <c r="E4" s="36" t="s">
        <v>288</v>
      </c>
      <c r="F4" s="36" t="s">
        <v>289</v>
      </c>
      <c r="G4" s="36" t="s">
        <v>290</v>
      </c>
      <c r="H4" s="36" t="s">
        <v>291</v>
      </c>
      <c r="I4" s="36" t="s">
        <v>292</v>
      </c>
      <c r="J4" s="36" t="s">
        <v>293</v>
      </c>
      <c r="K4" s="36" t="s">
        <v>294</v>
      </c>
    </row>
    <row r="5" customFormat="false" ht="14.25" hidden="false" customHeight="true" outlineLevel="0" collapsed="false">
      <c r="A5" s="13" t="s">
        <v>230</v>
      </c>
      <c r="B5" s="13" t="n">
        <f aca="false">SUMIFS(EE_ANEEL!$C$5:$C$107,EE_ANEEL!$B$5:$B$107,A5)</f>
        <v>1</v>
      </c>
      <c r="C5" s="38" t="n">
        <f aca="false">IF(B5=0,$C$33,SUMPRODUCT((EE_ANEEL!$B$5:$B$107=A5)*EE_ANEEL!$C$5:$C$107*EE_ANEEL!$N$5:$N$107)/B5)</f>
        <v>316.88</v>
      </c>
      <c r="D5" s="38" t="n">
        <f aca="false">IF(B5=0,$D$33,SUMPRODUCT((EE_ANEEL!$B$5:$B$107=A5)*EE_ANEEL!$C$5:$C$107*EE_ANEEL!$O$5:$O$107)/B5)</f>
        <v>31.74</v>
      </c>
      <c r="E5" s="38" t="n">
        <f aca="false">IF(Premissas!$C$28="SIM",D5*12/(8.76*Premissas!$C$29),0)</f>
        <v>48.310502283105</v>
      </c>
      <c r="F5" s="38" t="n">
        <f aca="false">C5+E5</f>
        <v>365.190502283105</v>
      </c>
      <c r="G5" s="24" t="n">
        <f aca="false">Premissas!$C$26</f>
        <v>0.18</v>
      </c>
      <c r="H5" s="38" t="n">
        <f aca="false">IF(Premissas!$C$19="COM",F5/(1-G5-Premissas!$C$27),F5)</f>
        <v>474.273379588448</v>
      </c>
      <c r="I5" s="38" t="n">
        <f aca="false">H5/Premissas!$C$21</f>
        <v>131.742605441236</v>
      </c>
      <c r="J5" s="38" t="n">
        <f aca="false">I5/Premissas!$C$23</f>
        <v>24.4329757865793</v>
      </c>
      <c r="K5" s="39" t="str">
        <f aca="false">IF(B5=0,"SIM — nacional","")</f>
        <v/>
      </c>
    </row>
    <row r="6" customFormat="false" ht="14.25" hidden="false" customHeight="true" outlineLevel="0" collapsed="false">
      <c r="A6" s="13" t="s">
        <v>252</v>
      </c>
      <c r="B6" s="13" t="n">
        <f aca="false">SUMIFS(EE_ANEEL!$C$5:$C$107,EE_ANEEL!$B$5:$B$107,A6)</f>
        <v>1</v>
      </c>
      <c r="C6" s="38" t="n">
        <f aca="false">IF(B6=0,$C$33,SUMPRODUCT((EE_ANEEL!$B$5:$B$107=A6)*EE_ANEEL!$C$5:$C$107*EE_ANEEL!$N$5:$N$107)/B6)</f>
        <v>420.46</v>
      </c>
      <c r="D6" s="38" t="n">
        <f aca="false">IF(B6=0,$D$33,SUMPRODUCT((EE_ANEEL!$B$5:$B$107=A6)*EE_ANEEL!$C$5:$C$107*EE_ANEEL!$O$5:$O$107)/B6)</f>
        <v>27.48</v>
      </c>
      <c r="E6" s="38" t="n">
        <f aca="false">IF(Premissas!$C$28="SIM",D6*12/(8.76*Premissas!$C$29),0)</f>
        <v>41.8264840182648</v>
      </c>
      <c r="F6" s="38" t="n">
        <f aca="false">C6+E6</f>
        <v>462.286484018265</v>
      </c>
      <c r="G6" s="24" t="n">
        <f aca="false">Premissas!$C$26</f>
        <v>0.18</v>
      </c>
      <c r="H6" s="38" t="n">
        <f aca="false">IF(Premissas!$C$19="COM",F6/(1-G6-Premissas!$C$27),F6)</f>
        <v>600.372057166578</v>
      </c>
      <c r="I6" s="38" t="n">
        <f aca="false">H6/Premissas!$C$21</f>
        <v>166.770015879605</v>
      </c>
      <c r="J6" s="38" t="n">
        <f aca="false">I6/Premissas!$C$23</f>
        <v>30.9291572477012</v>
      </c>
      <c r="K6" s="39" t="str">
        <f aca="false">IF(B6=0,"SIM — nacional","")</f>
        <v/>
      </c>
    </row>
    <row r="7" customFormat="false" ht="14.25" hidden="false" customHeight="true" outlineLevel="0" collapsed="false">
      <c r="A7" s="13" t="s">
        <v>282</v>
      </c>
      <c r="B7" s="13" t="n">
        <f aca="false">SUMIFS(EE_ANEEL!$C$5:$C$107,EE_ANEEL!$B$5:$B$107,A7)</f>
        <v>1</v>
      </c>
      <c r="C7" s="38" t="n">
        <f aca="false">IF(B7=0,$C$33,SUMPRODUCT((EE_ANEEL!$B$5:$B$107=A7)*EE_ANEEL!$C$5:$C$107*EE_ANEEL!$N$5:$N$107)/B7)</f>
        <v>513.58</v>
      </c>
      <c r="D7" s="38" t="n">
        <f aca="false">IF(B7=0,$D$33,SUMPRODUCT((EE_ANEEL!$B$5:$B$107=A7)*EE_ANEEL!$C$5:$C$107*EE_ANEEL!$O$5:$O$107)/B7)</f>
        <v>24.15</v>
      </c>
      <c r="E7" s="38" t="n">
        <f aca="false">IF(Premissas!$C$28="SIM",D7*12/(8.76*Premissas!$C$29),0)</f>
        <v>36.7579908675799</v>
      </c>
      <c r="F7" s="38" t="n">
        <f aca="false">C7+E7</f>
        <v>550.33799086758</v>
      </c>
      <c r="G7" s="24" t="n">
        <f aca="false">Premissas!$C$26</f>
        <v>0.18</v>
      </c>
      <c r="H7" s="38" t="n">
        <f aca="false">IF(Premissas!$C$19="COM",F7/(1-G7-Premissas!$C$27),F7)</f>
        <v>714.72466346439</v>
      </c>
      <c r="I7" s="38" t="n">
        <f aca="false">H7/Premissas!$C$21</f>
        <v>198.534628740108</v>
      </c>
      <c r="J7" s="38" t="n">
        <f aca="false">I7/Premissas!$C$23</f>
        <v>36.8202204636699</v>
      </c>
      <c r="K7" s="39" t="str">
        <f aca="false">IF(B7=0,"SIM — nacional","")</f>
        <v/>
      </c>
    </row>
    <row r="8" customFormat="false" ht="14.25" hidden="false" customHeight="true" outlineLevel="0" collapsed="false">
      <c r="A8" s="13" t="s">
        <v>153</v>
      </c>
      <c r="B8" s="13" t="n">
        <f aca="false">SUMIFS(EE_ANEEL!$C$5:$C$107,EE_ANEEL!$B$5:$B$107,A8)</f>
        <v>1</v>
      </c>
      <c r="C8" s="38" t="n">
        <f aca="false">IF(B8=0,$C$33,SUMPRODUCT((EE_ANEEL!$B$5:$B$107=A8)*EE_ANEEL!$C$5:$C$107*EE_ANEEL!$N$5:$N$107)/B8)</f>
        <v>387.44</v>
      </c>
      <c r="D8" s="38" t="n">
        <f aca="false">IF(B8=0,$D$33,SUMPRODUCT((EE_ANEEL!$B$5:$B$107=A8)*EE_ANEEL!$C$5:$C$107*EE_ANEEL!$O$5:$O$107)/B8)</f>
        <v>33.76</v>
      </c>
      <c r="E8" s="38" t="n">
        <f aca="false">IF(Premissas!$C$28="SIM",D8*12/(8.76*Premissas!$C$29),0)</f>
        <v>51.3850837138508</v>
      </c>
      <c r="F8" s="38" t="n">
        <f aca="false">C8+E8</f>
        <v>438.825083713851</v>
      </c>
      <c r="G8" s="24" t="n">
        <f aca="false">Premissas!$C$26</f>
        <v>0.18</v>
      </c>
      <c r="H8" s="38" t="n">
        <f aca="false">IF(Premissas!$C$19="COM",F8/(1-G8-Premissas!$C$27),F8)</f>
        <v>569.902706121884</v>
      </c>
      <c r="I8" s="38" t="n">
        <f aca="false">H8/Premissas!$C$21</f>
        <v>158.306307256079</v>
      </c>
      <c r="J8" s="38" t="n">
        <f aca="false">I8/Premissas!$C$23</f>
        <v>29.3594783486793</v>
      </c>
      <c r="K8" s="39" t="str">
        <f aca="false">IF(B8=0,"SIM — nacional","")</f>
        <v/>
      </c>
    </row>
    <row r="9" customFormat="false" ht="14.25" hidden="false" customHeight="true" outlineLevel="0" collapsed="false">
      <c r="A9" s="13" t="s">
        <v>206</v>
      </c>
      <c r="B9" s="13" t="n">
        <f aca="false">SUMIFS(EE_ANEEL!$C$5:$C$107,EE_ANEEL!$B$5:$B$107,A9)</f>
        <v>1</v>
      </c>
      <c r="C9" s="38" t="n">
        <f aca="false">IF(B9=0,$C$33,SUMPRODUCT((EE_ANEEL!$B$5:$B$107=A9)*EE_ANEEL!$C$5:$C$107*EE_ANEEL!$N$5:$N$107)/B9)</f>
        <v>362.7</v>
      </c>
      <c r="D9" s="38" t="n">
        <f aca="false">IF(B9=0,$D$33,SUMPRODUCT((EE_ANEEL!$B$5:$B$107=A9)*EE_ANEEL!$C$5:$C$107*EE_ANEEL!$O$5:$O$107)/B9)</f>
        <v>38.84</v>
      </c>
      <c r="E9" s="38" t="n">
        <f aca="false">IF(Premissas!$C$28="SIM",D9*12/(8.76*Premissas!$C$29),0)</f>
        <v>59.117199391172</v>
      </c>
      <c r="F9" s="38" t="n">
        <f aca="false">C9+E9</f>
        <v>421.817199391172</v>
      </c>
      <c r="G9" s="24" t="n">
        <f aca="false">Premissas!$C$26</f>
        <v>0.18</v>
      </c>
      <c r="H9" s="38" t="n">
        <f aca="false">IF(Premissas!$C$19="COM",F9/(1-G9-Premissas!$C$27),F9)</f>
        <v>547.81454466386</v>
      </c>
      <c r="I9" s="38" t="n">
        <f aca="false">H9/Premissas!$C$21</f>
        <v>152.170706851072</v>
      </c>
      <c r="J9" s="38" t="n">
        <f aca="false">I9/Premissas!$C$23</f>
        <v>28.2215702616974</v>
      </c>
      <c r="K9" s="39" t="str">
        <f aca="false">IF(B9=0,"SIM — nacional","")</f>
        <v/>
      </c>
    </row>
    <row r="10" customFormat="false" ht="14.25" hidden="false" customHeight="true" outlineLevel="0" collapsed="false">
      <c r="A10" s="13" t="s">
        <v>246</v>
      </c>
      <c r="B10" s="13" t="n">
        <f aca="false">SUMIFS(EE_ANEEL!$C$5:$C$107,EE_ANEEL!$B$5:$B$107,A10)</f>
        <v>1</v>
      </c>
      <c r="C10" s="38" t="n">
        <f aca="false">IF(B10=0,$C$33,SUMPRODUCT((EE_ANEEL!$B$5:$B$107=A10)*EE_ANEEL!$C$5:$C$107*EE_ANEEL!$N$5:$N$107)/B10)</f>
        <v>340.99</v>
      </c>
      <c r="D10" s="38" t="n">
        <f aca="false">IF(B10=0,$D$33,SUMPRODUCT((EE_ANEEL!$B$5:$B$107=A10)*EE_ANEEL!$C$5:$C$107*EE_ANEEL!$O$5:$O$107)/B10)</f>
        <v>22.65</v>
      </c>
      <c r="E10" s="38" t="n">
        <f aca="false">IF(Premissas!$C$28="SIM",D10*12/(8.76*Premissas!$C$29),0)</f>
        <v>34.4748858447489</v>
      </c>
      <c r="F10" s="38" t="n">
        <f aca="false">C10+E10</f>
        <v>375.464885844749</v>
      </c>
      <c r="G10" s="24" t="n">
        <f aca="false">Premissas!$C$26</f>
        <v>0.18</v>
      </c>
      <c r="H10" s="38" t="n">
        <f aca="false">IF(Premissas!$C$19="COM",F10/(1-G10-Premissas!$C$27),F10)</f>
        <v>487.61673486331</v>
      </c>
      <c r="I10" s="38" t="n">
        <f aca="false">H10/Premissas!$C$21</f>
        <v>135.449093017586</v>
      </c>
      <c r="J10" s="38" t="n">
        <f aca="false">I10/Premissas!$C$23</f>
        <v>25.1203807525197</v>
      </c>
      <c r="K10" s="39" t="str">
        <f aca="false">IF(B10=0,"SIM — nacional","")</f>
        <v/>
      </c>
    </row>
    <row r="11" customFormat="false" ht="14.25" hidden="false" customHeight="true" outlineLevel="0" collapsed="false">
      <c r="A11" s="13" t="s">
        <v>271</v>
      </c>
      <c r="B11" s="13" t="n">
        <f aca="false">SUMIFS(EE_ANEEL!$C$5:$C$107,EE_ANEEL!$B$5:$B$107,A11)</f>
        <v>1</v>
      </c>
      <c r="C11" s="38" t="n">
        <f aca="false">IF(B11=0,$C$33,SUMPRODUCT((EE_ANEEL!$B$5:$B$107=A11)*EE_ANEEL!$C$5:$C$107*EE_ANEEL!$N$5:$N$107)/B11)</f>
        <v>492.7</v>
      </c>
      <c r="D11" s="38" t="n">
        <f aca="false">IF(B11=0,$D$33,SUMPRODUCT((EE_ANEEL!$B$5:$B$107=A11)*EE_ANEEL!$C$5:$C$107*EE_ANEEL!$O$5:$O$107)/B11)</f>
        <v>12.3</v>
      </c>
      <c r="E11" s="38" t="n">
        <f aca="false">IF(Premissas!$C$28="SIM",D11*12/(8.76*Premissas!$C$29),0)</f>
        <v>18.7214611872146</v>
      </c>
      <c r="F11" s="38" t="n">
        <f aca="false">C11+E11</f>
        <v>511.421461187215</v>
      </c>
      <c r="G11" s="24" t="n">
        <f aca="false">Premissas!$C$26</f>
        <v>0.18</v>
      </c>
      <c r="H11" s="38" t="n">
        <f aca="false">IF(Premissas!$C$19="COM",F11/(1-G11-Premissas!$C$27),F11)</f>
        <v>664.183715827552</v>
      </c>
      <c r="I11" s="38" t="n">
        <f aca="false">H11/Premissas!$C$21</f>
        <v>184.495476618764</v>
      </c>
      <c r="J11" s="38" t="n">
        <f aca="false">I11/Premissas!$C$23</f>
        <v>34.2165201444296</v>
      </c>
      <c r="K11" s="39" t="str">
        <f aca="false">IF(B11=0,"SIM — nacional","")</f>
        <v/>
      </c>
    </row>
    <row r="12" customFormat="false" ht="14.25" hidden="false" customHeight="true" outlineLevel="0" collapsed="false">
      <c r="A12" s="13" t="s">
        <v>232</v>
      </c>
      <c r="B12" s="13" t="n">
        <f aca="false">SUMIFS(EE_ANEEL!$C$5:$C$107,EE_ANEEL!$B$5:$B$107,A12)</f>
        <v>1</v>
      </c>
      <c r="C12" s="38" t="n">
        <f aca="false">IF(B12=0,$C$33,SUMPRODUCT((EE_ANEEL!$B$5:$B$107=A12)*EE_ANEEL!$C$5:$C$107*EE_ANEEL!$N$5:$N$107)/B12)</f>
        <v>392.61</v>
      </c>
      <c r="D12" s="38" t="n">
        <f aca="false">IF(B12=0,$D$33,SUMPRODUCT((EE_ANEEL!$B$5:$B$107=A12)*EE_ANEEL!$C$5:$C$107*EE_ANEEL!$O$5:$O$107)/B12)</f>
        <v>31.83</v>
      </c>
      <c r="E12" s="38" t="n">
        <f aca="false">IF(Premissas!$C$28="SIM",D12*12/(8.76*Premissas!$C$29),0)</f>
        <v>48.4474885844749</v>
      </c>
      <c r="F12" s="38" t="n">
        <f aca="false">C12+E12</f>
        <v>441.057488584475</v>
      </c>
      <c r="G12" s="24" t="n">
        <f aca="false">Premissas!$C$26</f>
        <v>0.18</v>
      </c>
      <c r="H12" s="38" t="n">
        <f aca="false">IF(Premissas!$C$19="COM",F12/(1-G12-Premissas!$C$27),F12)</f>
        <v>572.801933226591</v>
      </c>
      <c r="I12" s="38" t="n">
        <f aca="false">H12/Premissas!$C$21</f>
        <v>159.111648118497</v>
      </c>
      <c r="J12" s="38" t="n">
        <f aca="false">I12/Premissas!$C$23</f>
        <v>29.5088368172287</v>
      </c>
      <c r="K12" s="39" t="str">
        <f aca="false">IF(B12=0,"SIM — nacional","")</f>
        <v/>
      </c>
    </row>
    <row r="13" customFormat="false" ht="14.25" hidden="false" customHeight="true" outlineLevel="0" collapsed="false">
      <c r="A13" s="13" t="s">
        <v>202</v>
      </c>
      <c r="B13" s="13" t="n">
        <f aca="false">SUMIFS(EE_ANEEL!$C$5:$C$107,EE_ANEEL!$B$5:$B$107,A13)</f>
        <v>1</v>
      </c>
      <c r="C13" s="38" t="n">
        <f aca="false">IF(B13=0,$C$33,SUMPRODUCT((EE_ANEEL!$B$5:$B$107=A13)*EE_ANEEL!$C$5:$C$107*EE_ANEEL!$N$5:$N$107)/B13)</f>
        <v>354.23</v>
      </c>
      <c r="D13" s="38" t="n">
        <f aca="false">IF(B13=0,$D$33,SUMPRODUCT((EE_ANEEL!$B$5:$B$107=A13)*EE_ANEEL!$C$5:$C$107*EE_ANEEL!$O$5:$O$107)/B13)</f>
        <v>27.09</v>
      </c>
      <c r="E13" s="38" t="n">
        <f aca="false">IF(Premissas!$C$28="SIM",D13*12/(8.76*Premissas!$C$29),0)</f>
        <v>41.2328767123288</v>
      </c>
      <c r="F13" s="38" t="n">
        <f aca="false">C13+E13</f>
        <v>395.462876712329</v>
      </c>
      <c r="G13" s="24" t="n">
        <f aca="false">Premissas!$C$26</f>
        <v>0.18</v>
      </c>
      <c r="H13" s="38" t="n">
        <f aca="false">IF(Premissas!$C$19="COM",F13/(1-G13-Premissas!$C$27),F13)</f>
        <v>513.588151574453</v>
      </c>
      <c r="I13" s="38" t="n">
        <f aca="false">H13/Premissas!$C$21</f>
        <v>142.663375437348</v>
      </c>
      <c r="J13" s="38" t="n">
        <f aca="false">I13/Premissas!$C$23</f>
        <v>26.4583411419414</v>
      </c>
      <c r="K13" s="39" t="str">
        <f aca="false">IF(B13=0,"SIM — nacional","")</f>
        <v/>
      </c>
    </row>
    <row r="14" customFormat="false" ht="14.25" hidden="false" customHeight="true" outlineLevel="0" collapsed="false">
      <c r="A14" s="13" t="s">
        <v>255</v>
      </c>
      <c r="B14" s="13" t="n">
        <f aca="false">SUMIFS(EE_ANEEL!$C$5:$C$107,EE_ANEEL!$B$5:$B$107,A14)</f>
        <v>1</v>
      </c>
      <c r="C14" s="38" t="n">
        <f aca="false">IF(B14=0,$C$33,SUMPRODUCT((EE_ANEEL!$B$5:$B$107=A14)*EE_ANEEL!$C$5:$C$107*EE_ANEEL!$N$5:$N$107)/B14)</f>
        <v>315.73</v>
      </c>
      <c r="D14" s="38" t="n">
        <f aca="false">IF(B14=0,$D$33,SUMPRODUCT((EE_ANEEL!$B$5:$B$107=A14)*EE_ANEEL!$C$5:$C$107*EE_ANEEL!$O$5:$O$107)/B14)</f>
        <v>28.45</v>
      </c>
      <c r="E14" s="38" t="n">
        <f aca="false">IF(Premissas!$C$28="SIM",D14*12/(8.76*Premissas!$C$29),0)</f>
        <v>43.3028919330289</v>
      </c>
      <c r="F14" s="38" t="n">
        <f aca="false">C14+E14</f>
        <v>359.032891933029</v>
      </c>
      <c r="G14" s="24" t="n">
        <f aca="false">Premissas!$C$26</f>
        <v>0.18</v>
      </c>
      <c r="H14" s="38" t="n">
        <f aca="false">IF(Premissas!$C$19="COM",F14/(1-G14-Premissas!$C$27),F14)</f>
        <v>466.276483029908</v>
      </c>
      <c r="I14" s="38" t="n">
        <f aca="false">H14/Premissas!$C$21</f>
        <v>129.521245286085</v>
      </c>
      <c r="J14" s="38" t="n">
        <f aca="false">I14/Premissas!$C$23</f>
        <v>24.0210024640366</v>
      </c>
      <c r="K14" s="39" t="str">
        <f aca="false">IF(B14=0,"SIM — nacional","")</f>
        <v/>
      </c>
    </row>
    <row r="15" customFormat="false" ht="14.25" hidden="false" customHeight="true" outlineLevel="0" collapsed="false">
      <c r="A15" s="13" t="s">
        <v>167</v>
      </c>
      <c r="B15" s="13" t="n">
        <f aca="false">SUMIFS(EE_ANEEL!$C$5:$C$107,EE_ANEEL!$B$5:$B$107,A15)</f>
        <v>1</v>
      </c>
      <c r="C15" s="38" t="n">
        <f aca="false">IF(B15=0,$C$33,SUMPRODUCT((EE_ANEEL!$B$5:$B$107=A15)*EE_ANEEL!$C$5:$C$107*EE_ANEEL!$N$5:$N$107)/B15)</f>
        <v>420.64</v>
      </c>
      <c r="D15" s="38" t="n">
        <f aca="false">IF(B15=0,$D$33,SUMPRODUCT((EE_ANEEL!$B$5:$B$107=A15)*EE_ANEEL!$C$5:$C$107*EE_ANEEL!$O$5:$O$107)/B15)</f>
        <v>22.23</v>
      </c>
      <c r="E15" s="38" t="n">
        <f aca="false">IF(Premissas!$C$28="SIM",D15*12/(8.76*Premissas!$C$29),0)</f>
        <v>33.8356164383562</v>
      </c>
      <c r="F15" s="38" t="n">
        <f aca="false">C15+E15</f>
        <v>454.475616438356</v>
      </c>
      <c r="G15" s="24" t="n">
        <f aca="false">Premissas!$C$26</f>
        <v>0.18</v>
      </c>
      <c r="H15" s="38" t="n">
        <f aca="false">IF(Premissas!$C$19="COM",F15/(1-G15-Premissas!$C$27),F15)</f>
        <v>590.228073296566</v>
      </c>
      <c r="I15" s="38" t="n">
        <f aca="false">H15/Premissas!$C$21</f>
        <v>163.95224258238</v>
      </c>
      <c r="J15" s="38" t="n">
        <f aca="false">I15/Premissas!$C$23</f>
        <v>30.4065731792247</v>
      </c>
      <c r="K15" s="39" t="str">
        <f aca="false">IF(B15=0,"SIM — nacional","")</f>
        <v/>
      </c>
    </row>
    <row r="16" customFormat="false" ht="14.25" hidden="false" customHeight="true" outlineLevel="0" collapsed="false">
      <c r="A16" s="13" t="s">
        <v>242</v>
      </c>
      <c r="B16" s="13" t="n">
        <f aca="false">SUMIFS(EE_ANEEL!$C$5:$C$107,EE_ANEEL!$B$5:$B$107,A16)</f>
        <v>1</v>
      </c>
      <c r="C16" s="38" t="n">
        <f aca="false">IF(B16=0,$C$33,SUMPRODUCT((EE_ANEEL!$B$5:$B$107=A16)*EE_ANEEL!$C$5:$C$107*EE_ANEEL!$N$5:$N$107)/B16)</f>
        <v>422.1</v>
      </c>
      <c r="D16" s="38" t="n">
        <f aca="false">IF(B16=0,$D$33,SUMPRODUCT((EE_ANEEL!$B$5:$B$107=A16)*EE_ANEEL!$C$5:$C$107*EE_ANEEL!$O$5:$O$107)/B16)</f>
        <v>34.28</v>
      </c>
      <c r="E16" s="38" t="n">
        <f aca="false">IF(Premissas!$C$28="SIM",D16*12/(8.76*Premissas!$C$29),0)</f>
        <v>52.1765601217656</v>
      </c>
      <c r="F16" s="38" t="n">
        <f aca="false">C16+E16</f>
        <v>474.276560121766</v>
      </c>
      <c r="G16" s="24" t="n">
        <f aca="false">Premissas!$C$26</f>
        <v>0.18</v>
      </c>
      <c r="H16" s="38" t="n">
        <f aca="false">IF(Premissas!$C$19="COM",F16/(1-G16-Premissas!$C$27),F16)</f>
        <v>615.943584573722</v>
      </c>
      <c r="I16" s="38" t="n">
        <f aca="false">H16/Premissas!$C$21</f>
        <v>171.095440159367</v>
      </c>
      <c r="J16" s="38" t="n">
        <f aca="false">I16/Premissas!$C$23</f>
        <v>31.7313501779242</v>
      </c>
      <c r="K16" s="39" t="str">
        <f aca="false">IF(B16=0,"SIM — nacional","")</f>
        <v/>
      </c>
    </row>
    <row r="17" customFormat="false" ht="14.25" hidden="false" customHeight="true" outlineLevel="0" collapsed="false">
      <c r="A17" s="13" t="s">
        <v>244</v>
      </c>
      <c r="B17" s="13" t="n">
        <f aca="false">SUMIFS(EE_ANEEL!$C$5:$C$107,EE_ANEEL!$B$5:$B$107,A17)</f>
        <v>1</v>
      </c>
      <c r="C17" s="38" t="n">
        <f aca="false">IF(B17=0,$C$33,SUMPRODUCT((EE_ANEEL!$B$5:$B$107=A17)*EE_ANEEL!$C$5:$C$107*EE_ANEEL!$N$5:$N$107)/B17)</f>
        <v>447.78</v>
      </c>
      <c r="D17" s="38" t="n">
        <f aca="false">IF(B17=0,$D$33,SUMPRODUCT((EE_ANEEL!$B$5:$B$107=A17)*EE_ANEEL!$C$5:$C$107*EE_ANEEL!$O$5:$O$107)/B17)</f>
        <v>30.46</v>
      </c>
      <c r="E17" s="38" t="n">
        <f aca="false">IF(Premissas!$C$28="SIM",D17*12/(8.76*Premissas!$C$29),0)</f>
        <v>46.3622526636225</v>
      </c>
      <c r="F17" s="38" t="n">
        <f aca="false">C17+E17</f>
        <v>494.142252663623</v>
      </c>
      <c r="G17" s="24" t="n">
        <f aca="false">Premissas!$C$26</f>
        <v>0.18</v>
      </c>
      <c r="H17" s="38" t="n">
        <f aca="false">IF(Premissas!$C$19="COM",F17/(1-G17-Premissas!$C$27),F17)</f>
        <v>641.743185277432</v>
      </c>
      <c r="I17" s="38" t="n">
        <f aca="false">H17/Premissas!$C$21</f>
        <v>178.261995910398</v>
      </c>
      <c r="J17" s="38" t="n">
        <f aca="false">I17/Premissas!$C$23</f>
        <v>33.0604591821954</v>
      </c>
      <c r="K17" s="39" t="str">
        <f aca="false">IF(B17=0,"SIM — nacional","")</f>
        <v/>
      </c>
    </row>
    <row r="18" customFormat="false" ht="14.25" hidden="false" customHeight="true" outlineLevel="0" collapsed="false">
      <c r="A18" s="13" t="s">
        <v>257</v>
      </c>
      <c r="B18" s="13" t="n">
        <f aca="false">SUMIFS(EE_ANEEL!$C$5:$C$107,EE_ANEEL!$B$5:$B$107,A18)</f>
        <v>1</v>
      </c>
      <c r="C18" s="38" t="n">
        <f aca="false">IF(B18=0,$C$33,SUMPRODUCT((EE_ANEEL!$B$5:$B$107=A18)*EE_ANEEL!$C$5:$C$107*EE_ANEEL!$N$5:$N$107)/B18)</f>
        <v>397.53</v>
      </c>
      <c r="D18" s="38" t="n">
        <f aca="false">IF(B18=0,$D$33,SUMPRODUCT((EE_ANEEL!$B$5:$B$107=A18)*EE_ANEEL!$C$5:$C$107*EE_ANEEL!$O$5:$O$107)/B18)</f>
        <v>47.53</v>
      </c>
      <c r="E18" s="38" t="n">
        <f aca="false">IF(Premissas!$C$28="SIM",D18*12/(8.76*Premissas!$C$29),0)</f>
        <v>72.3439878234399</v>
      </c>
      <c r="F18" s="38" t="n">
        <f aca="false">C18+E18</f>
        <v>469.87398782344</v>
      </c>
      <c r="G18" s="24" t="n">
        <f aca="false">Premissas!$C$26</f>
        <v>0.18</v>
      </c>
      <c r="H18" s="38" t="n">
        <f aca="false">IF(Premissas!$C$19="COM",F18/(1-G18-Premissas!$C$27),F18)</f>
        <v>610.22595821226</v>
      </c>
      <c r="I18" s="38" t="n">
        <f aca="false">H18/Premissas!$C$21</f>
        <v>169.507210614517</v>
      </c>
      <c r="J18" s="38" t="n">
        <f aca="false">I18/Premissas!$C$23</f>
        <v>31.4367972207931</v>
      </c>
      <c r="K18" s="39" t="str">
        <f aca="false">IF(B18=0,"SIM — nacional","")</f>
        <v/>
      </c>
    </row>
    <row r="19" customFormat="false" ht="14.25" hidden="false" customHeight="true" outlineLevel="0" collapsed="false">
      <c r="A19" s="13" t="s">
        <v>250</v>
      </c>
      <c r="B19" s="13" t="n">
        <f aca="false">SUMIFS(EE_ANEEL!$C$5:$C$107,EE_ANEEL!$B$5:$B$107,A19)</f>
        <v>1</v>
      </c>
      <c r="C19" s="38" t="n">
        <f aca="false">IF(B19=0,$C$33,SUMPRODUCT((EE_ANEEL!$B$5:$B$107=A19)*EE_ANEEL!$C$5:$C$107*EE_ANEEL!$N$5:$N$107)/B19)</f>
        <v>286.55</v>
      </c>
      <c r="D19" s="38" t="n">
        <f aca="false">IF(B19=0,$D$33,SUMPRODUCT((EE_ANEEL!$B$5:$B$107=A19)*EE_ANEEL!$C$5:$C$107*EE_ANEEL!$O$5:$O$107)/B19)</f>
        <v>24.72</v>
      </c>
      <c r="E19" s="38" t="n">
        <f aca="false">IF(Premissas!$C$28="SIM",D19*12/(8.76*Premissas!$C$29),0)</f>
        <v>37.6255707762557</v>
      </c>
      <c r="F19" s="38" t="n">
        <f aca="false">C19+E19</f>
        <v>324.175570776256</v>
      </c>
      <c r="G19" s="24" t="n">
        <f aca="false">Premissas!$C$26</f>
        <v>0.18</v>
      </c>
      <c r="H19" s="38" t="n">
        <f aca="false">IF(Premissas!$C$19="COM",F19/(1-G19-Premissas!$C$27),F19)</f>
        <v>421.007234774358</v>
      </c>
      <c r="I19" s="38" t="n">
        <f aca="false">H19/Premissas!$C$21</f>
        <v>116.946454103988</v>
      </c>
      <c r="J19" s="38" t="n">
        <f aca="false">I19/Premissas!$C$23</f>
        <v>21.6888824376833</v>
      </c>
      <c r="K19" s="39" t="str">
        <f aca="false">IF(B19=0,"SIM — nacional","")</f>
        <v/>
      </c>
    </row>
    <row r="20" customFormat="false" ht="14.25" hidden="false" customHeight="true" outlineLevel="0" collapsed="false">
      <c r="A20" s="13" t="s">
        <v>273</v>
      </c>
      <c r="B20" s="13" t="n">
        <f aca="false">SUMIFS(EE_ANEEL!$C$5:$C$107,EE_ANEEL!$B$5:$B$107,A20)</f>
        <v>1</v>
      </c>
      <c r="C20" s="38" t="n">
        <f aca="false">IF(B20=0,$C$33,SUMPRODUCT((EE_ANEEL!$B$5:$B$107=A20)*EE_ANEEL!$C$5:$C$107*EE_ANEEL!$N$5:$N$107)/B20)</f>
        <v>404.63</v>
      </c>
      <c r="D20" s="38" t="n">
        <f aca="false">IF(B20=0,$D$33,SUMPRODUCT((EE_ANEEL!$B$5:$B$107=A20)*EE_ANEEL!$C$5:$C$107*EE_ANEEL!$O$5:$O$107)/B20)</f>
        <v>22.68</v>
      </c>
      <c r="E20" s="38" t="n">
        <f aca="false">IF(Premissas!$C$28="SIM",D20*12/(8.76*Premissas!$C$29),0)</f>
        <v>34.5205479452055</v>
      </c>
      <c r="F20" s="38" t="n">
        <f aca="false">C20+E20</f>
        <v>439.150547945205</v>
      </c>
      <c r="G20" s="24" t="n">
        <f aca="false">Premissas!$C$26</f>
        <v>0.18</v>
      </c>
      <c r="H20" s="38" t="n">
        <f aca="false">IF(Premissas!$C$19="COM",F20/(1-G20-Premissas!$C$27),F20)</f>
        <v>570.325386941825</v>
      </c>
      <c r="I20" s="38" t="n">
        <f aca="false">H20/Premissas!$C$21</f>
        <v>158.423718594951</v>
      </c>
      <c r="J20" s="38" t="n">
        <f aca="false">I20/Premissas!$C$23</f>
        <v>29.3812534486186</v>
      </c>
      <c r="K20" s="39" t="str">
        <f aca="false">IF(B20=0,"SIM — nacional","")</f>
        <v/>
      </c>
    </row>
    <row r="21" customFormat="false" ht="14.25" hidden="false" customHeight="true" outlineLevel="0" collapsed="false">
      <c r="A21" s="13" t="s">
        <v>259</v>
      </c>
      <c r="B21" s="13" t="n">
        <f aca="false">SUMIFS(EE_ANEEL!$C$5:$C$107,EE_ANEEL!$B$5:$B$107,A21)</f>
        <v>1</v>
      </c>
      <c r="C21" s="38" t="n">
        <f aca="false">IF(B21=0,$C$33,SUMPRODUCT((EE_ANEEL!$B$5:$B$107=A21)*EE_ANEEL!$C$5:$C$107*EE_ANEEL!$N$5:$N$107)/B21)</f>
        <v>333.81</v>
      </c>
      <c r="D21" s="38" t="n">
        <f aca="false">IF(B21=0,$D$33,SUMPRODUCT((EE_ANEEL!$B$5:$B$107=A21)*EE_ANEEL!$C$5:$C$107*EE_ANEEL!$O$5:$O$107)/B21)</f>
        <v>31.72</v>
      </c>
      <c r="E21" s="38" t="n">
        <f aca="false">IF(Premissas!$C$28="SIM",D21*12/(8.76*Premissas!$C$29),0)</f>
        <v>48.2800608828006</v>
      </c>
      <c r="F21" s="38" t="n">
        <f aca="false">C21+E21</f>
        <v>382.090060882801</v>
      </c>
      <c r="G21" s="24" t="n">
        <f aca="false">Premissas!$C$26</f>
        <v>0.18</v>
      </c>
      <c r="H21" s="38" t="n">
        <f aca="false">IF(Premissas!$C$19="COM",F21/(1-G21-Premissas!$C$27),F21)</f>
        <v>496.220858289351</v>
      </c>
      <c r="I21" s="38" t="n">
        <f aca="false">H21/Premissas!$C$21</f>
        <v>137.839127302598</v>
      </c>
      <c r="J21" s="38" t="n">
        <f aca="false">I21/Premissas!$C$23</f>
        <v>25.5636363691761</v>
      </c>
      <c r="K21" s="39" t="str">
        <f aca="false">IF(B21=0,"SIM — nacional","")</f>
        <v/>
      </c>
    </row>
    <row r="22" customFormat="false" ht="14.25" hidden="false" customHeight="true" outlineLevel="0" collapsed="false">
      <c r="A22" s="13" t="s">
        <v>150</v>
      </c>
      <c r="B22" s="13" t="n">
        <f aca="false">SUMIFS(EE_ANEEL!$C$5:$C$107,EE_ANEEL!$B$5:$B$107,A22)</f>
        <v>1</v>
      </c>
      <c r="C22" s="38" t="n">
        <f aca="false">IF(B22=0,$C$33,SUMPRODUCT((EE_ANEEL!$B$5:$B$107=A22)*EE_ANEEL!$C$5:$C$107*EE_ANEEL!$N$5:$N$107)/B22)</f>
        <v>368.29</v>
      </c>
      <c r="D22" s="38" t="n">
        <f aca="false">IF(B22=0,$D$33,SUMPRODUCT((EE_ANEEL!$B$5:$B$107=A22)*EE_ANEEL!$C$5:$C$107*EE_ANEEL!$O$5:$O$107)/B22)</f>
        <v>24.22</v>
      </c>
      <c r="E22" s="38" t="n">
        <f aca="false">IF(Premissas!$C$28="SIM",D22*12/(8.76*Premissas!$C$29),0)</f>
        <v>36.8645357686454</v>
      </c>
      <c r="F22" s="38" t="n">
        <f aca="false">C22+E22</f>
        <v>405.154535768645</v>
      </c>
      <c r="G22" s="24" t="n">
        <f aca="false">Premissas!$C$26</f>
        <v>0.18</v>
      </c>
      <c r="H22" s="38" t="n">
        <f aca="false">IF(Premissas!$C$19="COM",F22/(1-G22-Premissas!$C$27),F22)</f>
        <v>526.174721777462</v>
      </c>
      <c r="I22" s="38" t="n">
        <f aca="false">H22/Premissas!$C$21</f>
        <v>146.159644938184</v>
      </c>
      <c r="J22" s="38" t="n">
        <f aca="false">I22/Premissas!$C$23</f>
        <v>27.1067590760727</v>
      </c>
      <c r="K22" s="39" t="str">
        <f aca="false">IF(B22=0,"SIM — nacional","")</f>
        <v/>
      </c>
    </row>
    <row r="23" customFormat="false" ht="14.25" hidden="false" customHeight="true" outlineLevel="0" collapsed="false">
      <c r="A23" s="13" t="s">
        <v>248</v>
      </c>
      <c r="B23" s="13" t="n">
        <f aca="false">SUMIFS(EE_ANEEL!$C$5:$C$107,EE_ANEEL!$B$5:$B$107,A23)</f>
        <v>2</v>
      </c>
      <c r="C23" s="38" t="n">
        <f aca="false">IF(B23=0,$C$33,SUMPRODUCT((EE_ANEEL!$B$5:$B$107=A23)*EE_ANEEL!$C$5:$C$107*EE_ANEEL!$N$5:$N$107)/B23)</f>
        <v>462.425</v>
      </c>
      <c r="D23" s="38" t="n">
        <f aca="false">IF(B23=0,$D$33,SUMPRODUCT((EE_ANEEL!$B$5:$B$107=A23)*EE_ANEEL!$C$5:$C$107*EE_ANEEL!$O$5:$O$107)/B23)</f>
        <v>32.68</v>
      </c>
      <c r="E23" s="38" t="n">
        <f aca="false">IF(Premissas!$C$28="SIM",D23*12/(8.76*Premissas!$C$29),0)</f>
        <v>49.7412480974125</v>
      </c>
      <c r="F23" s="38" t="n">
        <f aca="false">C23+E23</f>
        <v>512.166248097412</v>
      </c>
      <c r="G23" s="24" t="n">
        <f aca="false">Premissas!$C$26</f>
        <v>0.18</v>
      </c>
      <c r="H23" s="38" t="n">
        <f aca="false">IF(Premissas!$C$19="COM",F23/(1-G23-Premissas!$C$27),F23)</f>
        <v>665.150971555081</v>
      </c>
      <c r="I23" s="38" t="n">
        <f aca="false">H23/Premissas!$C$21</f>
        <v>184.7641587653</v>
      </c>
      <c r="J23" s="38" t="n">
        <f aca="false">I23/Premissas!$C$23</f>
        <v>34.2663499193806</v>
      </c>
      <c r="K23" s="39" t="str">
        <f aca="false">IF(B23=0,"SIM — nacional","")</f>
        <v/>
      </c>
    </row>
    <row r="24" customFormat="false" ht="14.25" hidden="false" customHeight="true" outlineLevel="0" collapsed="false">
      <c r="A24" s="13" t="s">
        <v>219</v>
      </c>
      <c r="B24" s="13" t="n">
        <f aca="false">SUMIFS(EE_ANEEL!$C$5:$C$107,EE_ANEEL!$B$5:$B$107,A24)</f>
        <v>1</v>
      </c>
      <c r="C24" s="38" t="n">
        <f aca="false">IF(B24=0,$C$33,SUMPRODUCT((EE_ANEEL!$B$5:$B$107=A24)*EE_ANEEL!$C$5:$C$107*EE_ANEEL!$N$5:$N$107)/B24)</f>
        <v>388.91</v>
      </c>
      <c r="D24" s="38" t="n">
        <f aca="false">IF(B24=0,$D$33,SUMPRODUCT((EE_ANEEL!$B$5:$B$107=A24)*EE_ANEEL!$C$5:$C$107*EE_ANEEL!$O$5:$O$107)/B24)</f>
        <v>31.3</v>
      </c>
      <c r="E24" s="38" t="n">
        <f aca="false">IF(Premissas!$C$28="SIM",D24*12/(8.76*Premissas!$C$29),0)</f>
        <v>47.6407914764079</v>
      </c>
      <c r="F24" s="38" t="n">
        <f aca="false">C24+E24</f>
        <v>436.550791476408</v>
      </c>
      <c r="G24" s="24" t="n">
        <f aca="false">Premissas!$C$26</f>
        <v>0.18</v>
      </c>
      <c r="H24" s="38" t="n">
        <f aca="false">IF(Premissas!$C$19="COM",F24/(1-G24-Premissas!$C$27),F24)</f>
        <v>566.949079839491</v>
      </c>
      <c r="I24" s="38" t="n">
        <f aca="false">H24/Premissas!$C$21</f>
        <v>157.48585551097</v>
      </c>
      <c r="J24" s="38" t="n">
        <f aca="false">I24/Premissas!$C$23</f>
        <v>29.2073174167229</v>
      </c>
      <c r="K24" s="39" t="str">
        <f aca="false">IF(B24=0,"SIM — nacional","")</f>
        <v/>
      </c>
    </row>
    <row r="25" customFormat="false" ht="14.25" hidden="false" customHeight="true" outlineLevel="0" collapsed="false">
      <c r="A25" s="13" t="s">
        <v>261</v>
      </c>
      <c r="B25" s="13" t="n">
        <f aca="false">SUMIFS(EE_ANEEL!$C$5:$C$107,EE_ANEEL!$B$5:$B$107,A25)</f>
        <v>1</v>
      </c>
      <c r="C25" s="38" t="n">
        <f aca="false">IF(B25=0,$C$33,SUMPRODUCT((EE_ANEEL!$B$5:$B$107=A25)*EE_ANEEL!$C$5:$C$107*EE_ANEEL!$N$5:$N$107)/B25)</f>
        <v>325.61</v>
      </c>
      <c r="D25" s="38" t="n">
        <f aca="false">IF(B25=0,$D$33,SUMPRODUCT((EE_ANEEL!$B$5:$B$107=A25)*EE_ANEEL!$C$5:$C$107*EE_ANEEL!$O$5:$O$107)/B25)</f>
        <v>31.24</v>
      </c>
      <c r="E25" s="38" t="n">
        <f aca="false">IF(Premissas!$C$28="SIM",D25*12/(8.76*Premissas!$C$29),0)</f>
        <v>47.5494672754947</v>
      </c>
      <c r="F25" s="38" t="n">
        <f aca="false">C25+E25</f>
        <v>373.159467275495</v>
      </c>
      <c r="G25" s="24" t="n">
        <f aca="false">Premissas!$C$26</f>
        <v>0.18</v>
      </c>
      <c r="H25" s="38" t="n">
        <f aca="false">IF(Premissas!$C$19="COM",F25/(1-G25-Premissas!$C$27),F25)</f>
        <v>484.62268477337</v>
      </c>
      <c r="I25" s="38" t="n">
        <f aca="false">H25/Premissas!$C$21</f>
        <v>134.617412437047</v>
      </c>
      <c r="J25" s="38" t="n">
        <f aca="false">I25/Premissas!$C$23</f>
        <v>24.9661373214108</v>
      </c>
      <c r="K25" s="39" t="str">
        <f aca="false">IF(B25=0,"SIM — nacional","")</f>
        <v/>
      </c>
    </row>
    <row r="26" customFormat="false" ht="14.25" hidden="false" customHeight="true" outlineLevel="0" collapsed="false">
      <c r="A26" s="13" t="s">
        <v>280</v>
      </c>
      <c r="B26" s="13" t="n">
        <f aca="false">SUMIFS(EE_ANEEL!$C$5:$C$107,EE_ANEEL!$B$5:$B$107,A26)</f>
        <v>1</v>
      </c>
      <c r="C26" s="38" t="n">
        <f aca="false">IF(B26=0,$C$33,SUMPRODUCT((EE_ANEEL!$B$5:$B$107=A26)*EE_ANEEL!$C$5:$C$107*EE_ANEEL!$N$5:$N$107)/B26)</f>
        <v>400.8</v>
      </c>
      <c r="D26" s="38" t="n">
        <f aca="false">IF(B26=0,$D$33,SUMPRODUCT((EE_ANEEL!$B$5:$B$107=A26)*EE_ANEEL!$C$5:$C$107*EE_ANEEL!$O$5:$O$107)/B26)</f>
        <v>16.78</v>
      </c>
      <c r="E26" s="38" t="n">
        <f aca="false">IF(Premissas!$C$28="SIM",D26*12/(8.76*Premissas!$C$29),0)</f>
        <v>25.5403348554033</v>
      </c>
      <c r="F26" s="38" t="n">
        <f aca="false">C26+E26</f>
        <v>426.340334855403</v>
      </c>
      <c r="G26" s="24" t="n">
        <f aca="false">Premissas!$C$26</f>
        <v>0.18</v>
      </c>
      <c r="H26" s="38" t="n">
        <f aca="false">IF(Premissas!$C$19="COM",F26/(1-G26-Premissas!$C$27),F26)</f>
        <v>553.688746565459</v>
      </c>
      <c r="I26" s="38" t="n">
        <f aca="false">H26/Premissas!$C$21</f>
        <v>153.802429601516</v>
      </c>
      <c r="J26" s="38" t="n">
        <f aca="false">I26/Premissas!$C$23</f>
        <v>28.5241894661566</v>
      </c>
      <c r="K26" s="39" t="str">
        <f aca="false">IF(B26=0,"SIM — nacional","")</f>
        <v/>
      </c>
    </row>
    <row r="27" customFormat="false" ht="14.25" hidden="false" customHeight="true" outlineLevel="0" collapsed="false">
      <c r="A27" s="13" t="s">
        <v>160</v>
      </c>
      <c r="B27" s="13" t="n">
        <f aca="false">SUMIFS(EE_ANEEL!$C$5:$C$107,EE_ANEEL!$B$5:$B$107,A27)</f>
        <v>2</v>
      </c>
      <c r="C27" s="38" t="n">
        <f aca="false">IF(B27=0,$C$33,SUMPRODUCT((EE_ANEEL!$B$5:$B$107=A27)*EE_ANEEL!$C$5:$C$107*EE_ANEEL!$N$5:$N$107)/B27)</f>
        <v>370.71</v>
      </c>
      <c r="D27" s="38" t="n">
        <f aca="false">IF(B27=0,$D$33,SUMPRODUCT((EE_ANEEL!$B$5:$B$107=A27)*EE_ANEEL!$C$5:$C$107*EE_ANEEL!$O$5:$O$107)/B27)</f>
        <v>28.495</v>
      </c>
      <c r="E27" s="38" t="n">
        <f aca="false">IF(Premissas!$C$28="SIM",D27*12/(8.76*Premissas!$C$29),0)</f>
        <v>43.3713850837138</v>
      </c>
      <c r="F27" s="38" t="n">
        <f aca="false">C27+E27</f>
        <v>414.081385083714</v>
      </c>
      <c r="G27" s="24" t="n">
        <f aca="false">Premissas!$C$26</f>
        <v>0.18</v>
      </c>
      <c r="H27" s="38" t="n">
        <f aca="false">IF(Premissas!$C$19="COM",F27/(1-G27-Premissas!$C$27),F27)</f>
        <v>537.768032576252</v>
      </c>
      <c r="I27" s="38" t="n">
        <f aca="false">H27/Premissas!$C$21</f>
        <v>149.380009048959</v>
      </c>
      <c r="J27" s="38" t="n">
        <f aca="false">I27/Premissas!$C$23</f>
        <v>27.7040076129375</v>
      </c>
      <c r="K27" s="39" t="str">
        <f aca="false">IF(B27=0,"SIM — nacional","")</f>
        <v/>
      </c>
    </row>
    <row r="28" customFormat="false" ht="14.25" hidden="false" customHeight="true" outlineLevel="0" collapsed="false">
      <c r="A28" s="13" t="s">
        <v>164</v>
      </c>
      <c r="B28" s="13" t="n">
        <f aca="false">SUMIFS(EE_ANEEL!$C$5:$C$107,EE_ANEEL!$B$5:$B$107,A28)</f>
        <v>1</v>
      </c>
      <c r="C28" s="38" t="n">
        <f aca="false">IF(B28=0,$C$33,SUMPRODUCT((EE_ANEEL!$B$5:$B$107=A28)*EE_ANEEL!$C$5:$C$107*EE_ANEEL!$N$5:$N$107)/B28)</f>
        <v>393.33</v>
      </c>
      <c r="D28" s="38" t="n">
        <f aca="false">IF(B28=0,$D$33,SUMPRODUCT((EE_ANEEL!$B$5:$B$107=A28)*EE_ANEEL!$C$5:$C$107*EE_ANEEL!$O$5:$O$107)/B28)</f>
        <v>17.71</v>
      </c>
      <c r="E28" s="38" t="n">
        <f aca="false">IF(Premissas!$C$28="SIM",D28*12/(8.76*Premissas!$C$29),0)</f>
        <v>26.9558599695586</v>
      </c>
      <c r="F28" s="38" t="n">
        <f aca="false">C28+E28</f>
        <v>420.285859969559</v>
      </c>
      <c r="G28" s="24" t="n">
        <f aca="false">Premissas!$C$26</f>
        <v>0.18</v>
      </c>
      <c r="H28" s="38" t="n">
        <f aca="false">IF(Premissas!$C$19="COM",F28/(1-G28-Premissas!$C$27),F28)</f>
        <v>545.825792168258</v>
      </c>
      <c r="I28" s="38" t="n">
        <f aca="false">H28/Premissas!$C$21</f>
        <v>151.618275602294</v>
      </c>
      <c r="J28" s="38" t="n">
        <f aca="false">I28/Premissas!$C$23</f>
        <v>28.1191163950842</v>
      </c>
      <c r="K28" s="39" t="str">
        <f aca="false">IF(B28=0,"SIM — nacional","")</f>
        <v/>
      </c>
    </row>
    <row r="29" customFormat="false" ht="14.25" hidden="false" customHeight="true" outlineLevel="0" collapsed="false">
      <c r="A29" s="13" t="s">
        <v>263</v>
      </c>
      <c r="B29" s="13" t="n">
        <f aca="false">SUMIFS(EE_ANEEL!$C$5:$C$107,EE_ANEEL!$B$5:$B$107,A29)</f>
        <v>1</v>
      </c>
      <c r="C29" s="38" t="n">
        <f aca="false">IF(B29=0,$C$33,SUMPRODUCT((EE_ANEEL!$B$5:$B$107=A29)*EE_ANEEL!$C$5:$C$107*EE_ANEEL!$N$5:$N$107)/B29)</f>
        <v>326.99</v>
      </c>
      <c r="D29" s="38" t="n">
        <f aca="false">IF(B29=0,$D$33,SUMPRODUCT((EE_ANEEL!$B$5:$B$107=A29)*EE_ANEEL!$C$5:$C$107*EE_ANEEL!$O$5:$O$107)/B29)</f>
        <v>22.8</v>
      </c>
      <c r="E29" s="38" t="n">
        <f aca="false">IF(Premissas!$C$28="SIM",D29*12/(8.76*Premissas!$C$29),0)</f>
        <v>34.703196347032</v>
      </c>
      <c r="F29" s="38" t="n">
        <f aca="false">C29+E29</f>
        <v>361.693196347032</v>
      </c>
      <c r="G29" s="24" t="n">
        <f aca="false">Premissas!$C$26</f>
        <v>0.18</v>
      </c>
      <c r="H29" s="38" t="n">
        <f aca="false">IF(Premissas!$C$19="COM",F29/(1-G29-Premissas!$C$27),F29)</f>
        <v>469.731423827314</v>
      </c>
      <c r="I29" s="38" t="n">
        <f aca="false">H29/Premissas!$C$21</f>
        <v>130.480951063143</v>
      </c>
      <c r="J29" s="38" t="n">
        <f aca="false">I29/Premissas!$C$23</f>
        <v>24.1989894404938</v>
      </c>
      <c r="K29" s="39" t="str">
        <f aca="false">IF(B29=0,"SIM — nacional","")</f>
        <v/>
      </c>
    </row>
    <row r="30" customFormat="false" ht="14.25" hidden="false" customHeight="true" outlineLevel="0" collapsed="false">
      <c r="A30" s="13" t="s">
        <v>221</v>
      </c>
      <c r="B30" s="13" t="n">
        <f aca="false">SUMIFS(EE_ANEEL!$C$5:$C$107,EE_ANEEL!$B$5:$B$107,A30)</f>
        <v>5</v>
      </c>
      <c r="C30" s="38" t="n">
        <f aca="false">IF(B30=0,$C$33,SUMPRODUCT((EE_ANEEL!$B$5:$B$107=A30)*EE_ANEEL!$C$5:$C$107*EE_ANEEL!$N$5:$N$107)/B30)</f>
        <v>382.294</v>
      </c>
      <c r="D30" s="38" t="n">
        <f aca="false">IF(B30=0,$D$33,SUMPRODUCT((EE_ANEEL!$B$5:$B$107=A30)*EE_ANEEL!$C$5:$C$107*EE_ANEEL!$O$5:$O$107)/B30)</f>
        <v>17.886</v>
      </c>
      <c r="E30" s="38" t="n">
        <f aca="false">IF(Premissas!$C$28="SIM",D30*12/(8.76*Premissas!$C$29),0)</f>
        <v>27.2237442922374</v>
      </c>
      <c r="F30" s="38" t="n">
        <f aca="false">C30+E30</f>
        <v>409.517744292237</v>
      </c>
      <c r="G30" s="24" t="n">
        <f aca="false">Premissas!$C$26</f>
        <v>0.18</v>
      </c>
      <c r="H30" s="38" t="n">
        <f aca="false">IF(Premissas!$C$19="COM",F30/(1-G30-Premissas!$C$27),F30)</f>
        <v>531.841226353555</v>
      </c>
      <c r="I30" s="38" t="n">
        <f aca="false">H30/Premissas!$C$21</f>
        <v>147.733673987099</v>
      </c>
      <c r="J30" s="38" t="n">
        <f aca="false">I30/Premissas!$C$23</f>
        <v>27.3986784100702</v>
      </c>
      <c r="K30" s="39" t="str">
        <f aca="false">IF(B30=0,"SIM — nacional","")</f>
        <v/>
      </c>
    </row>
    <row r="31" customFormat="false" ht="14.25" hidden="false" customHeight="true" outlineLevel="0" collapsed="false">
      <c r="A31" s="13" t="s">
        <v>266</v>
      </c>
      <c r="B31" s="13" t="n">
        <f aca="false">SUMIFS(EE_ANEEL!$C$5:$C$107,EE_ANEEL!$B$5:$B$107,A31)</f>
        <v>1</v>
      </c>
      <c r="C31" s="38" t="n">
        <f aca="false">IF(B31=0,$C$33,SUMPRODUCT((EE_ANEEL!$B$5:$B$107=A31)*EE_ANEEL!$C$5:$C$107*EE_ANEEL!$N$5:$N$107)/B31)</f>
        <v>325.15</v>
      </c>
      <c r="D31" s="38" t="n">
        <f aca="false">IF(B31=0,$D$33,SUMPRODUCT((EE_ANEEL!$B$5:$B$107=A31)*EE_ANEEL!$C$5:$C$107*EE_ANEEL!$O$5:$O$107)/B31)</f>
        <v>46.35</v>
      </c>
      <c r="E31" s="38" t="n">
        <f aca="false">IF(Premissas!$C$28="SIM",D31*12/(8.76*Premissas!$C$29),0)</f>
        <v>70.5479452054795</v>
      </c>
      <c r="F31" s="38" t="n">
        <f aca="false">C31+E31</f>
        <v>395.697945205479</v>
      </c>
      <c r="G31" s="24" t="n">
        <f aca="false">Premissas!$C$26</f>
        <v>0.18</v>
      </c>
      <c r="H31" s="38" t="n">
        <f aca="false">IF(Premissas!$C$19="COM",F31/(1-G31-Premissas!$C$27),F31)</f>
        <v>513.893435331792</v>
      </c>
      <c r="I31" s="38" t="n">
        <f aca="false">H31/Premissas!$C$21</f>
        <v>142.748176481053</v>
      </c>
      <c r="J31" s="38" t="n">
        <f aca="false">I31/Premissas!$C$23</f>
        <v>26.4740683384743</v>
      </c>
      <c r="K31" s="39" t="str">
        <f aca="false">IF(B31=0,"SIM — nacional","")</f>
        <v/>
      </c>
    </row>
    <row r="33" customFormat="false" ht="14.25" hidden="false" customHeight="true" outlineLevel="0" collapsed="false">
      <c r="B33" s="40" t="s">
        <v>295</v>
      </c>
      <c r="C33" s="38" t="n">
        <f aca="false">SUMPRODUCT(EE_ANEEL!$C$5:$C$107,EE_ANEEL!$N$5:$N$107)/SUM(EE_ANEEL!$C$5:$C$107)</f>
        <v>385.369090909091</v>
      </c>
      <c r="D33" s="38" t="n">
        <f aca="false">SUMPRODUCT(EE_ANEEL!$C$5:$C$107,EE_ANEEL!$O$5:$O$107)/SUM(EE_ANEEL!$C$5:$C$107)</f>
        <v>27.0936363636364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L9" activeCellId="0" sqref="L9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7"/>
    <col collapsed="false" customWidth="true" hidden="false" outlineLevel="0" max="3" min="3" style="1" width="13"/>
    <col collapsed="false" customWidth="true" hidden="false" outlineLevel="0" max="7" min="4" style="1" width="11"/>
    <col collapsed="false" customWidth="true" hidden="false" outlineLevel="0" max="8" min="8" style="1" width="13"/>
    <col collapsed="false" customWidth="true" hidden="false" outlineLevel="0" max="9" min="9" style="1" width="16"/>
  </cols>
  <sheetData>
    <row r="1" customFormat="false" ht="17.25" hidden="false" customHeight="true" outlineLevel="0" collapsed="false">
      <c r="A1" s="9" t="s">
        <v>296</v>
      </c>
    </row>
    <row r="2" customFormat="false" ht="14.25" hidden="false" customHeight="true" outlineLevel="0" collapsed="false">
      <c r="A2" s="26" t="s">
        <v>297</v>
      </c>
    </row>
    <row r="4" customFormat="false" ht="26.25" hidden="false" customHeight="true" outlineLevel="0" collapsed="false">
      <c r="A4" s="36" t="s">
        <v>298</v>
      </c>
      <c r="B4" s="36" t="s">
        <v>135</v>
      </c>
      <c r="C4" s="36" t="s">
        <v>299</v>
      </c>
      <c r="D4" s="36" t="s">
        <v>300</v>
      </c>
      <c r="E4" s="36" t="s">
        <v>301</v>
      </c>
      <c r="F4" s="36" t="s">
        <v>302</v>
      </c>
      <c r="G4" s="36" t="s">
        <v>303</v>
      </c>
      <c r="H4" s="36" t="s">
        <v>304</v>
      </c>
      <c r="I4" s="36" t="s">
        <v>305</v>
      </c>
    </row>
    <row r="5" customFormat="false" ht="14.25" hidden="false" customHeight="true" outlineLevel="0" collapsed="false">
      <c r="A5" s="13" t="s">
        <v>306</v>
      </c>
      <c r="B5" s="13" t="s">
        <v>252</v>
      </c>
      <c r="C5" s="13" t="s">
        <v>307</v>
      </c>
      <c r="D5" s="41" t="n">
        <v>18.9</v>
      </c>
      <c r="E5" s="41" t="n">
        <v>16.9</v>
      </c>
      <c r="F5" s="41" t="n">
        <v>15.8</v>
      </c>
      <c r="G5" s="41" t="n">
        <v>16</v>
      </c>
      <c r="H5" s="42" t="n">
        <f aca="false">IF(Premissas!$C$6=2022,D5,IF(Premissas!$C$6=2023,E5,IF(Premissas!$C$6=2024,F5,AVERAGE(D5:F5))))</f>
        <v>15.8</v>
      </c>
      <c r="I5" s="43" t="n">
        <f aca="false">H5/$C$29</f>
        <v>0.94272076372315</v>
      </c>
    </row>
    <row r="6" customFormat="false" ht="14.25" hidden="false" customHeight="true" outlineLevel="0" collapsed="false">
      <c r="A6" s="13" t="s">
        <v>308</v>
      </c>
      <c r="B6" s="13" t="s">
        <v>206</v>
      </c>
      <c r="C6" s="13" t="s">
        <v>307</v>
      </c>
      <c r="D6" s="41" t="n">
        <v>18.2</v>
      </c>
      <c r="E6" s="41" t="n">
        <v>17</v>
      </c>
      <c r="F6" s="41" t="n">
        <v>13.3</v>
      </c>
      <c r="G6" s="41" t="n">
        <v>15.7</v>
      </c>
      <c r="H6" s="42" t="n">
        <f aca="false">IF(Premissas!$C$6=2022,D6,IF(Premissas!$C$6=2023,E6,IF(Premissas!$C$6=2024,F6,AVERAGE(D6:F6))))</f>
        <v>13.3</v>
      </c>
      <c r="I6" s="43" t="n">
        <f aca="false">H6/$C$29</f>
        <v>0.793556085918854</v>
      </c>
    </row>
    <row r="7" customFormat="false" ht="14.25" hidden="false" customHeight="true" outlineLevel="0" collapsed="false">
      <c r="A7" s="13" t="s">
        <v>309</v>
      </c>
      <c r="B7" s="13" t="s">
        <v>232</v>
      </c>
      <c r="C7" s="13" t="s">
        <v>310</v>
      </c>
      <c r="D7" s="41" t="n">
        <v>21.7</v>
      </c>
      <c r="E7" s="41" t="n">
        <v>21.8</v>
      </c>
      <c r="F7" s="41" t="n">
        <v>16.6</v>
      </c>
      <c r="G7" s="41" t="n">
        <v>18.8</v>
      </c>
      <c r="H7" s="42" t="n">
        <f aca="false">IF(Premissas!$C$6=2022,D7,IF(Premissas!$C$6=2023,E7,IF(Premissas!$C$6=2024,F7,AVERAGE(D7:F7))))</f>
        <v>16.6</v>
      </c>
      <c r="I7" s="43" t="n">
        <f aca="false">H7/$C$29</f>
        <v>0.990453460620525</v>
      </c>
    </row>
    <row r="8" customFormat="false" ht="14.25" hidden="false" customHeight="true" outlineLevel="0" collapsed="false">
      <c r="A8" s="13" t="s">
        <v>311</v>
      </c>
      <c r="B8" s="13" t="s">
        <v>248</v>
      </c>
      <c r="C8" s="13" t="s">
        <v>310</v>
      </c>
      <c r="D8" s="41" t="n">
        <v>22.2</v>
      </c>
      <c r="E8" s="41" t="n">
        <v>21.8</v>
      </c>
      <c r="F8" s="41" t="n">
        <v>18.7</v>
      </c>
      <c r="G8" s="41" t="n">
        <v>20.7</v>
      </c>
      <c r="H8" s="42" t="n">
        <f aca="false">IF(Premissas!$C$6=2022,D8,IF(Premissas!$C$6=2023,E8,IF(Premissas!$C$6=2024,F8,AVERAGE(D8:F8))))</f>
        <v>18.7</v>
      </c>
      <c r="I8" s="43" t="n">
        <f aca="false">H8/$C$29</f>
        <v>1.11575178997613</v>
      </c>
    </row>
    <row r="9" customFormat="false" ht="14.25" hidden="false" customHeight="true" outlineLevel="0" collapsed="false">
      <c r="A9" s="13" t="s">
        <v>312</v>
      </c>
      <c r="B9" s="13" t="s">
        <v>248</v>
      </c>
      <c r="C9" s="13" t="s">
        <v>310</v>
      </c>
      <c r="D9" s="41" t="n">
        <v>21.1</v>
      </c>
      <c r="E9" s="41" t="n">
        <v>19.8</v>
      </c>
      <c r="F9" s="41" t="n">
        <v>17.5</v>
      </c>
      <c r="G9" s="41" t="n">
        <v>19.3</v>
      </c>
      <c r="H9" s="42" t="n">
        <f aca="false">IF(Premissas!$C$6=2022,D9,IF(Premissas!$C$6=2023,E9,IF(Premissas!$C$6=2024,F9,AVERAGE(D9:F9))))</f>
        <v>17.5</v>
      </c>
      <c r="I9" s="43" t="n">
        <f aca="false">H9/$C$29</f>
        <v>1.04415274463007</v>
      </c>
    </row>
    <row r="10" customFormat="false" ht="14.25" hidden="false" customHeight="true" outlineLevel="0" collapsed="false">
      <c r="A10" s="13" t="s">
        <v>313</v>
      </c>
      <c r="B10" s="13" t="s">
        <v>246</v>
      </c>
      <c r="C10" s="13" t="s">
        <v>307</v>
      </c>
      <c r="D10" s="41" t="n">
        <v>23.4</v>
      </c>
      <c r="E10" s="41" t="n">
        <v>23.8</v>
      </c>
      <c r="F10" s="41" t="n">
        <v>18.7</v>
      </c>
      <c r="G10" s="41" t="n">
        <v>19.9</v>
      </c>
      <c r="H10" s="42" t="n">
        <f aca="false">IF(Premissas!$C$6=2022,D10,IF(Premissas!$C$6=2023,E10,IF(Premissas!$C$6=2024,F10,AVERAGE(D10:F10))))</f>
        <v>18.7</v>
      </c>
      <c r="I10" s="43" t="n">
        <f aca="false">H10/$C$29</f>
        <v>1.11575178997613</v>
      </c>
    </row>
    <row r="11" customFormat="false" ht="14.25" hidden="false" customHeight="true" outlineLevel="0" collapsed="false">
      <c r="A11" s="13" t="s">
        <v>314</v>
      </c>
      <c r="B11" s="13" t="s">
        <v>221</v>
      </c>
      <c r="C11" s="13" t="s">
        <v>310</v>
      </c>
      <c r="D11" s="41" t="n">
        <v>25</v>
      </c>
      <c r="E11" s="41" t="n">
        <v>20.1</v>
      </c>
      <c r="F11" s="41" t="n">
        <v>17.7</v>
      </c>
      <c r="G11" s="41" t="n">
        <v>17.9</v>
      </c>
      <c r="H11" s="42" t="n">
        <f aca="false">IF(Premissas!$C$6=2022,D11,IF(Premissas!$C$6=2023,E11,IF(Premissas!$C$6=2024,F11,AVERAGE(D11:F11))))</f>
        <v>17.7</v>
      </c>
      <c r="I11" s="43" t="n">
        <f aca="false">H11/$C$29</f>
        <v>1.05608591885442</v>
      </c>
    </row>
    <row r="12" customFormat="false" ht="14.25" hidden="false" customHeight="true" outlineLevel="0" collapsed="false">
      <c r="A12" s="13" t="s">
        <v>315</v>
      </c>
      <c r="B12" s="13" t="s">
        <v>273</v>
      </c>
      <c r="C12" s="13" t="s">
        <v>307</v>
      </c>
      <c r="D12" s="41" t="n">
        <v>18.9</v>
      </c>
      <c r="E12" s="41" t="n">
        <v>18.1</v>
      </c>
      <c r="F12" s="41" t="n">
        <v>16.5</v>
      </c>
      <c r="G12" s="41" t="n">
        <v>17.4</v>
      </c>
      <c r="H12" s="42" t="n">
        <f aca="false">IF(Premissas!$C$6=2022,D12,IF(Premissas!$C$6=2023,E12,IF(Premissas!$C$6=2024,F12,AVERAGE(D12:F12))))</f>
        <v>16.5</v>
      </c>
      <c r="I12" s="43" t="n">
        <f aca="false">H12/$C$29</f>
        <v>0.984486873508353</v>
      </c>
    </row>
    <row r="13" customFormat="false" ht="14.25" hidden="false" customHeight="true" outlineLevel="0" collapsed="false">
      <c r="A13" s="13" t="s">
        <v>316</v>
      </c>
      <c r="B13" s="13" t="s">
        <v>250</v>
      </c>
      <c r="C13" s="13" t="s">
        <v>307</v>
      </c>
      <c r="D13" s="41" t="n">
        <v>20.2</v>
      </c>
      <c r="E13" s="41" t="n">
        <v>19.5</v>
      </c>
      <c r="F13" s="41" t="n">
        <v>17.6</v>
      </c>
      <c r="G13" s="41" t="n">
        <v>19</v>
      </c>
      <c r="H13" s="42" t="n">
        <f aca="false">IF(Premissas!$C$6=2022,D13,IF(Premissas!$C$6=2023,E13,IF(Premissas!$C$6=2024,F13,AVERAGE(D13:F13))))</f>
        <v>17.6</v>
      </c>
      <c r="I13" s="43" t="n">
        <f aca="false">H13/$C$29</f>
        <v>1.05011933174224</v>
      </c>
    </row>
    <row r="14" customFormat="false" ht="14.25" hidden="false" customHeight="true" outlineLevel="0" collapsed="false">
      <c r="A14" s="13" t="s">
        <v>317</v>
      </c>
      <c r="B14" s="13" t="s">
        <v>219</v>
      </c>
      <c r="C14" s="13" t="s">
        <v>307</v>
      </c>
      <c r="D14" s="41" t="n">
        <v>16.4</v>
      </c>
      <c r="E14" s="41" t="n">
        <v>18.6</v>
      </c>
      <c r="F14" s="41" t="n">
        <v>17.7</v>
      </c>
      <c r="G14" s="41" t="n">
        <v>21.2</v>
      </c>
      <c r="H14" s="42" t="n">
        <f aca="false">IF(Premissas!$C$6=2022,D14,IF(Premissas!$C$6=2023,E14,IF(Premissas!$C$6=2024,F14,AVERAGE(D14:F14))))</f>
        <v>17.7</v>
      </c>
      <c r="I14" s="43" t="n">
        <f aca="false">H14/$C$29</f>
        <v>1.05608591885442</v>
      </c>
    </row>
    <row r="15" customFormat="false" ht="14.25" hidden="false" customHeight="true" outlineLevel="0" collapsed="false">
      <c r="A15" s="13" t="s">
        <v>318</v>
      </c>
      <c r="B15" s="13" t="s">
        <v>263</v>
      </c>
      <c r="C15" s="13" t="s">
        <v>307</v>
      </c>
      <c r="D15" s="41" t="n">
        <v>17.9</v>
      </c>
      <c r="E15" s="41" t="n">
        <v>19.3</v>
      </c>
      <c r="F15" s="41" t="n">
        <v>17.4</v>
      </c>
      <c r="G15" s="41" t="n">
        <v>18.7</v>
      </c>
      <c r="H15" s="42" t="n">
        <f aca="false">IF(Premissas!$C$6=2022,D15,IF(Premissas!$C$6=2023,E15,IF(Premissas!$C$6=2024,F15,AVERAGE(D15:F15))))</f>
        <v>17.4</v>
      </c>
      <c r="I15" s="43" t="n">
        <f aca="false">H15/$C$29</f>
        <v>1.0381861575179</v>
      </c>
    </row>
    <row r="16" customFormat="false" ht="14.25" hidden="false" customHeight="true" outlineLevel="0" collapsed="false">
      <c r="A16" s="13" t="s">
        <v>319</v>
      </c>
      <c r="B16" s="13" t="s">
        <v>167</v>
      </c>
      <c r="C16" s="13" t="s">
        <v>310</v>
      </c>
      <c r="D16" s="41" t="n">
        <v>24</v>
      </c>
      <c r="E16" s="41" t="n">
        <v>22.8</v>
      </c>
      <c r="F16" s="41" t="n">
        <v>15.5</v>
      </c>
      <c r="G16" s="41" t="n">
        <v>17.4</v>
      </c>
      <c r="H16" s="42" t="n">
        <f aca="false">IF(Premissas!$C$6=2022,D16,IF(Premissas!$C$6=2023,E16,IF(Premissas!$C$6=2024,F16,AVERAGE(D16:F16))))</f>
        <v>15.5</v>
      </c>
      <c r="I16" s="43" t="n">
        <f aca="false">H16/$C$29</f>
        <v>0.924821002386635</v>
      </c>
    </row>
    <row r="17" customFormat="false" ht="14.25" hidden="false" customHeight="true" outlineLevel="0" collapsed="false">
      <c r="A17" s="13" t="s">
        <v>320</v>
      </c>
      <c r="B17" s="13" t="s">
        <v>221</v>
      </c>
      <c r="C17" s="13" t="s">
        <v>310</v>
      </c>
      <c r="D17" s="41" t="n">
        <v>23.8</v>
      </c>
      <c r="E17" s="41" t="n">
        <v>22.9</v>
      </c>
      <c r="F17" s="41" t="n">
        <v>18.5</v>
      </c>
      <c r="G17" s="41" t="n">
        <v>18</v>
      </c>
      <c r="H17" s="42" t="n">
        <f aca="false">IF(Premissas!$C$6=2022,D17,IF(Premissas!$C$6=2023,E17,IF(Premissas!$C$6=2024,F17,AVERAGE(D17:F17))))</f>
        <v>18.5</v>
      </c>
      <c r="I17" s="43" t="n">
        <f aca="false">H17/$C$29</f>
        <v>1.10381861575179</v>
      </c>
    </row>
    <row r="18" customFormat="false" ht="14.25" hidden="false" customHeight="true" outlineLevel="0" collapsed="false">
      <c r="A18" s="13" t="s">
        <v>321</v>
      </c>
      <c r="B18" s="13" t="s">
        <v>221</v>
      </c>
      <c r="C18" s="13" t="s">
        <v>310</v>
      </c>
      <c r="D18" s="41" t="n">
        <v>8.3</v>
      </c>
      <c r="E18" s="41" t="n">
        <v>17.8</v>
      </c>
      <c r="F18" s="41" t="n">
        <v>14.6</v>
      </c>
      <c r="G18" s="41" t="n">
        <v>39.5</v>
      </c>
      <c r="H18" s="42" t="n">
        <f aca="false">IF(Premissas!$C$6=2022,D18,IF(Premissas!$C$6=2023,E18,IF(Premissas!$C$6=2024,F18,AVERAGE(D18:F18))))</f>
        <v>14.6</v>
      </c>
      <c r="I18" s="43" t="n">
        <f aca="false">H18/$C$29</f>
        <v>0.871121718377088</v>
      </c>
    </row>
    <row r="19" customFormat="false" ht="14.25" hidden="false" customHeight="true" outlineLevel="0" collapsed="false">
      <c r="A19" s="13" t="s">
        <v>322</v>
      </c>
      <c r="B19" s="13" t="s">
        <v>150</v>
      </c>
      <c r="C19" s="13" t="s">
        <v>323</v>
      </c>
      <c r="D19" s="41" t="n">
        <v>29.9</v>
      </c>
      <c r="E19" s="41" t="n">
        <v>24.5</v>
      </c>
      <c r="F19" s="41" t="n">
        <v>16.9</v>
      </c>
      <c r="G19" s="41" t="n">
        <v>18.5</v>
      </c>
      <c r="H19" s="42" t="n">
        <f aca="false">IF(Premissas!$C$6=2022,D19,IF(Premissas!$C$6=2023,E19,IF(Premissas!$C$6=2024,F19,AVERAGE(D19:F19))))</f>
        <v>16.9</v>
      </c>
      <c r="I19" s="43" t="n">
        <f aca="false">H19/$C$29</f>
        <v>1.00835322195704</v>
      </c>
    </row>
    <row r="20" customFormat="false" ht="14.25" hidden="false" customHeight="true" outlineLevel="0" collapsed="false">
      <c r="A20" s="13" t="s">
        <v>324</v>
      </c>
      <c r="B20" s="13" t="s">
        <v>242</v>
      </c>
      <c r="C20" s="13" t="s">
        <v>325</v>
      </c>
      <c r="D20" s="41" t="n">
        <v>22.5</v>
      </c>
      <c r="E20" s="41" t="n">
        <v>21.2</v>
      </c>
      <c r="F20" s="41" t="n">
        <v>16.7</v>
      </c>
      <c r="G20" s="41" t="n">
        <v>17.4</v>
      </c>
      <c r="H20" s="42" t="n">
        <f aca="false">IF(Premissas!$C$6=2022,D20,IF(Premissas!$C$6=2023,E20,IF(Premissas!$C$6=2024,F20,AVERAGE(D20:F20))))</f>
        <v>16.7</v>
      </c>
      <c r="I20" s="43" t="n">
        <f aca="false">H20/$C$29</f>
        <v>0.996420047732697</v>
      </c>
    </row>
    <row r="21" customFormat="false" ht="14.25" hidden="false" customHeight="true" outlineLevel="0" collapsed="false">
      <c r="A21" s="13" t="s">
        <v>326</v>
      </c>
      <c r="B21" s="13" t="s">
        <v>164</v>
      </c>
      <c r="C21" s="13" t="s">
        <v>323</v>
      </c>
      <c r="D21" s="41" t="n">
        <v>26.4</v>
      </c>
      <c r="E21" s="41" t="n">
        <v>21.9</v>
      </c>
      <c r="F21" s="41" t="n">
        <v>16.8</v>
      </c>
      <c r="G21" s="41" t="n">
        <v>18.7</v>
      </c>
      <c r="H21" s="42" t="n">
        <f aca="false">IF(Premissas!$C$6=2022,D21,IF(Premissas!$C$6=2023,E21,IF(Premissas!$C$6=2024,F21,AVERAGE(D21:F21))))</f>
        <v>16.8</v>
      </c>
      <c r="I21" s="43" t="n">
        <f aca="false">H21/$C$29</f>
        <v>1.00238663484487</v>
      </c>
    </row>
    <row r="22" customFormat="false" ht="14.25" hidden="false" customHeight="true" outlineLevel="0" collapsed="false">
      <c r="A22" s="13" t="s">
        <v>327</v>
      </c>
      <c r="B22" s="13" t="s">
        <v>160</v>
      </c>
      <c r="C22" s="13" t="s">
        <v>323</v>
      </c>
      <c r="D22" s="41" t="n">
        <v>26.3</v>
      </c>
      <c r="E22" s="41" t="n">
        <v>20.8</v>
      </c>
      <c r="F22" s="41" t="n">
        <v>18.1</v>
      </c>
      <c r="G22" s="41" t="n">
        <v>21.2</v>
      </c>
      <c r="H22" s="42" t="n">
        <f aca="false">IF(Premissas!$C$6=2022,D22,IF(Premissas!$C$6=2023,E22,IF(Premissas!$C$6=2024,F22,AVERAGE(D22:F22))))</f>
        <v>18.1</v>
      </c>
      <c r="I22" s="43" t="n">
        <f aca="false">H22/$C$29</f>
        <v>1.0799522673031</v>
      </c>
    </row>
    <row r="23" customFormat="false" ht="14.25" hidden="false" customHeight="true" outlineLevel="0" collapsed="false">
      <c r="A23" s="13" t="s">
        <v>328</v>
      </c>
      <c r="B23" s="13" t="s">
        <v>282</v>
      </c>
      <c r="C23" s="13" t="s">
        <v>329</v>
      </c>
      <c r="D23" s="41" t="n">
        <v>13.7</v>
      </c>
      <c r="E23" s="41" t="n">
        <v>15.6</v>
      </c>
      <c r="F23" s="41" t="n">
        <v>14.1</v>
      </c>
      <c r="G23" s="41" t="n">
        <v>14.3</v>
      </c>
      <c r="H23" s="42" t="n">
        <f aca="false">IF(Premissas!$C$6=2022,D23,IF(Premissas!$C$6=2023,E23,IF(Premissas!$C$6=2024,F23,AVERAGE(D23:F23))))</f>
        <v>14.1</v>
      </c>
      <c r="I23" s="43" t="n">
        <f aca="false">H23/$C$29</f>
        <v>0.841288782816229</v>
      </c>
    </row>
    <row r="26" customFormat="false" ht="14.25" hidden="false" customHeight="true" outlineLevel="0" collapsed="false">
      <c r="A26" s="40" t="s">
        <v>330</v>
      </c>
    </row>
    <row r="27" customFormat="false" ht="14.25" hidden="false" customHeight="true" outlineLevel="0" collapsed="false">
      <c r="A27" s="13" t="s">
        <v>331</v>
      </c>
      <c r="C27" s="42" t="n">
        <f aca="false">AVERAGE(H5:H23)</f>
        <v>16.7736842105263</v>
      </c>
    </row>
    <row r="28" customFormat="false" ht="14.25" hidden="false" customHeight="true" outlineLevel="0" collapsed="false">
      <c r="A28" s="13" t="s">
        <v>332</v>
      </c>
      <c r="D28" s="44" t="n">
        <v>20.98</v>
      </c>
      <c r="E28" s="44" t="n">
        <v>20.22</v>
      </c>
      <c r="F28" s="44" t="n">
        <v>16.76</v>
      </c>
      <c r="G28" s="44" t="n">
        <v>19.44</v>
      </c>
    </row>
    <row r="29" customFormat="false" ht="14.25" hidden="false" customHeight="true" outlineLevel="0" collapsed="false">
      <c r="A29" s="13" t="s">
        <v>333</v>
      </c>
      <c r="C29" s="42" t="n">
        <f aca="false">IF(Premissas!$C$6=2022,D28,IF(Premissas!$C$6=2023,E28,IF(Premissas!$C$6=2024,F28,AVERAGE(D28:F28))))</f>
        <v>16.76</v>
      </c>
    </row>
    <row r="30" customFormat="false" ht="14.25" hidden="false" customHeight="true" outlineLevel="0" collapsed="false">
      <c r="A30" s="13" t="s">
        <v>334</v>
      </c>
      <c r="C30" s="43" t="n">
        <f aca="false">C27-C29</f>
        <v>0.0136842105263142</v>
      </c>
      <c r="E30" s="45" t="s">
        <v>335</v>
      </c>
    </row>
    <row r="32" customFormat="false" ht="14.25" hidden="false" customHeight="true" outlineLevel="0" collapsed="false">
      <c r="A32" s="40" t="s">
        <v>336</v>
      </c>
    </row>
    <row r="33" customFormat="false" ht="14.25" hidden="false" customHeight="true" outlineLevel="0" collapsed="false">
      <c r="A33" s="13" t="s">
        <v>337</v>
      </c>
      <c r="D33" s="44" t="n">
        <v>3.97</v>
      </c>
      <c r="E33" s="44" t="n">
        <v>3.79</v>
      </c>
      <c r="F33" s="44" t="n">
        <v>3.75</v>
      </c>
    </row>
    <row r="34" customFormat="false" ht="14.25" hidden="false" customHeight="true" outlineLevel="0" collapsed="false">
      <c r="A34" s="13" t="s">
        <v>338</v>
      </c>
      <c r="D34" s="44" t="n">
        <v>3.91</v>
      </c>
      <c r="E34" s="44" t="n">
        <v>3.72</v>
      </c>
      <c r="F34" s="44" t="n">
        <v>3.67</v>
      </c>
    </row>
    <row r="35" customFormat="false" ht="14.25" hidden="false" customHeight="true" outlineLevel="0" collapsed="false">
      <c r="A35" s="13" t="s">
        <v>339</v>
      </c>
      <c r="C35" s="43" t="n">
        <f aca="false">IF(Premissas!$C$17=20000,IF(Premissas!$C$6=2022,D33,IF(Premissas!$C$6=2023,E33,IF(Premissas!$C$6=2024,F33,AVERAGE(D33:F33)))),IF(Premissas!$C$6=2022,D34,IF(Premissas!$C$6=2023,E34,IF(Premissas!$C$6=2024,F34,AVERAGE(D34:F34)))))</f>
        <v>3.67</v>
      </c>
      <c r="E35" s="23" t="s">
        <v>340</v>
      </c>
    </row>
    <row r="37" customFormat="false" ht="14.25" hidden="false" customHeight="true" outlineLevel="0" collapsed="false">
      <c r="A37" s="40" t="s">
        <v>341</v>
      </c>
    </row>
    <row r="38" customFormat="false" ht="14.25" hidden="false" customHeight="true" outlineLevel="0" collapsed="false">
      <c r="A38" s="46" t="s">
        <v>299</v>
      </c>
      <c r="B38" s="46" t="s">
        <v>342</v>
      </c>
      <c r="C38" s="46" t="s">
        <v>343</v>
      </c>
      <c r="D38" s="46" t="s">
        <v>344</v>
      </c>
    </row>
    <row r="39" customFormat="false" ht="14.25" hidden="false" customHeight="true" outlineLevel="0" collapsed="false">
      <c r="A39" s="13" t="s">
        <v>307</v>
      </c>
      <c r="B39" s="44" t="n">
        <v>65.64</v>
      </c>
      <c r="C39" s="44" t="n">
        <v>24.59</v>
      </c>
      <c r="D39" s="47" t="n">
        <f aca="false">C39/(B39+C39)</f>
        <v>0.272525767483099</v>
      </c>
    </row>
    <row r="40" customFormat="false" ht="14.25" hidden="false" customHeight="true" outlineLevel="0" collapsed="false">
      <c r="A40" s="13" t="s">
        <v>329</v>
      </c>
      <c r="B40" s="44" t="n">
        <v>56.37</v>
      </c>
      <c r="C40" s="44" t="n">
        <v>29.37</v>
      </c>
      <c r="D40" s="47" t="n">
        <f aca="false">C40/(B40+C40)</f>
        <v>0.342547235829251</v>
      </c>
    </row>
    <row r="41" customFormat="false" ht="14.25" hidden="false" customHeight="true" outlineLevel="0" collapsed="false">
      <c r="A41" s="13" t="s">
        <v>310</v>
      </c>
      <c r="B41" s="44" t="n">
        <v>78.7</v>
      </c>
      <c r="C41" s="44" t="n">
        <v>23.58</v>
      </c>
      <c r="D41" s="47" t="n">
        <f aca="false">C41/(B41+C41)</f>
        <v>0.230543605788033</v>
      </c>
    </row>
    <row r="42" customFormat="false" ht="14.25" hidden="false" customHeight="true" outlineLevel="0" collapsed="false">
      <c r="A42" s="13" t="s">
        <v>323</v>
      </c>
      <c r="B42" s="44" t="n">
        <v>80.14</v>
      </c>
      <c r="C42" s="44" t="n">
        <v>24.96</v>
      </c>
      <c r="D42" s="47" t="n">
        <f aca="false">C42/(B42+C42)</f>
        <v>0.237488106565176</v>
      </c>
    </row>
    <row r="43" customFormat="false" ht="14.25" hidden="false" customHeight="true" outlineLevel="0" collapsed="false">
      <c r="A43" s="13" t="s">
        <v>325</v>
      </c>
      <c r="B43" s="44" t="n">
        <v>60.28</v>
      </c>
      <c r="C43" s="44" t="n">
        <v>33.18</v>
      </c>
      <c r="D43" s="47" t="n">
        <f aca="false">C43/(B43+C43)</f>
        <v>0.355018189599829</v>
      </c>
    </row>
    <row r="44" customFormat="false" ht="14.25" hidden="false" customHeight="true" outlineLevel="0" collapsed="false">
      <c r="A44" s="23" t="s">
        <v>345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M6" activeCellId="0" sqref="M6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28"/>
    <col collapsed="false" customWidth="true" hidden="false" outlineLevel="0" max="4" min="4" style="1" width="22"/>
    <col collapsed="false" customWidth="true" hidden="false" outlineLevel="0" max="5" min="5" style="1" width="26"/>
    <col collapsed="false" customWidth="true" hidden="false" outlineLevel="0" max="6" min="6" style="1" width="17"/>
    <col collapsed="false" customWidth="true" hidden="false" outlineLevel="0" max="7" min="7" style="1" width="20"/>
  </cols>
  <sheetData>
    <row r="1" customFormat="false" ht="17.25" hidden="false" customHeight="true" outlineLevel="0" collapsed="false">
      <c r="A1" s="9" t="s">
        <v>346</v>
      </c>
    </row>
    <row r="2" customFormat="false" ht="14.25" hidden="false" customHeight="true" outlineLevel="0" collapsed="false">
      <c r="A2" s="26" t="s">
        <v>347</v>
      </c>
    </row>
    <row r="4" customFormat="false" ht="26.25" hidden="false" customHeight="true" outlineLevel="0" collapsed="false">
      <c r="A4" s="36" t="s">
        <v>135</v>
      </c>
      <c r="B4" s="36" t="s">
        <v>299</v>
      </c>
      <c r="C4" s="36" t="s">
        <v>348</v>
      </c>
      <c r="D4" s="36" t="s">
        <v>349</v>
      </c>
      <c r="E4" s="36" t="s">
        <v>350</v>
      </c>
      <c r="F4" s="36" t="s">
        <v>351</v>
      </c>
      <c r="G4" s="36" t="s">
        <v>294</v>
      </c>
    </row>
    <row r="5" customFormat="false" ht="14.25" hidden="false" customHeight="true" outlineLevel="0" collapsed="false">
      <c r="A5" s="13" t="s">
        <v>230</v>
      </c>
      <c r="B5" s="13" t="s">
        <v>329</v>
      </c>
      <c r="C5" s="43" t="n">
        <f aca="false">IFERROR(AVERAGEIF(GN_Boletim!$B$5:$B$23,A5,GN_Boletim!$I$5:$I$23),1)</f>
        <v>1</v>
      </c>
      <c r="D5" s="43" t="n">
        <f aca="false">C5*GN_Boletim!$C$35</f>
        <v>3.67</v>
      </c>
      <c r="E5" s="43" t="n">
        <f aca="false">IF(Premissas!$C$19="SEM",D5*(1-IFERROR(INDEX(GN_Boletim!$D$39:$D$43,MATCH(B5,GN_Boletim!$A$39:$A$43,0)),0)),D5)</f>
        <v>3.67</v>
      </c>
      <c r="F5" s="42" t="n">
        <f aca="false">E5/Premissas!$C$23/Premissas!$C$15</f>
        <v>19.1255987219172</v>
      </c>
      <c r="G5" s="39" t="str">
        <f aca="false">IF(COUNTIF(GN_Boletim!$B$5:$B$23,A5)=0,"SIM — nacional","")</f>
        <v>SIM — nacional</v>
      </c>
    </row>
    <row r="6" customFormat="false" ht="14.25" hidden="false" customHeight="true" outlineLevel="0" collapsed="false">
      <c r="A6" s="13" t="s">
        <v>252</v>
      </c>
      <c r="B6" s="13" t="s">
        <v>307</v>
      </c>
      <c r="C6" s="43" t="n">
        <f aca="false">IFERROR(AVERAGEIF(GN_Boletim!$B$5:$B$23,A6,GN_Boletim!$I$5:$I$23),1)</f>
        <v>0.94272076372315</v>
      </c>
      <c r="D6" s="43" t="n">
        <f aca="false">C6*GN_Boletim!$C$35</f>
        <v>3.45978520286396</v>
      </c>
      <c r="E6" s="43" t="n">
        <f aca="false">IF(Premissas!$C$19="SEM",D6*(1-IFERROR(INDEX(GN_Boletim!$D$39:$D$43,MATCH(B6,GN_Boletim!$A$39:$A$43,0)),0)),D6)</f>
        <v>3.45978520286396</v>
      </c>
      <c r="F6" s="42" t="n">
        <f aca="false">E6/Premissas!$C$23/Premissas!$C$15</f>
        <v>18.0300990337883</v>
      </c>
      <c r="G6" s="39" t="str">
        <f aca="false">IF(COUNTIF(GN_Boletim!$B$5:$B$23,A6)=0,"SIM — nacional","")</f>
        <v/>
      </c>
    </row>
    <row r="7" customFormat="false" ht="14.25" hidden="false" customHeight="true" outlineLevel="0" collapsed="false">
      <c r="A7" s="13" t="s">
        <v>282</v>
      </c>
      <c r="B7" s="13" t="s">
        <v>329</v>
      </c>
      <c r="C7" s="43" t="n">
        <f aca="false">IFERROR(AVERAGEIF(GN_Boletim!$B$5:$B$23,A7,GN_Boletim!$I$5:$I$23),1)</f>
        <v>0.841288782816229</v>
      </c>
      <c r="D7" s="43" t="n">
        <f aca="false">C7*GN_Boletim!$C$35</f>
        <v>3.08752983293556</v>
      </c>
      <c r="E7" s="43" t="n">
        <f aca="false">IF(Premissas!$C$19="SEM",D7*(1-IFERROR(INDEX(GN_Boletim!$D$39:$D$43,MATCH(B7,GN_Boletim!$A$39:$A$43,0)),0)),D7)</f>
        <v>3.08752983293556</v>
      </c>
      <c r="F7" s="42" t="n">
        <f aca="false">E7/Premissas!$C$23/Premissas!$C$15</f>
        <v>16.0901516693934</v>
      </c>
      <c r="G7" s="39" t="str">
        <f aca="false">IF(COUNTIF(GN_Boletim!$B$5:$B$23,A7)=0,"SIM — nacional","")</f>
        <v/>
      </c>
    </row>
    <row r="8" customFormat="false" ht="14.25" hidden="false" customHeight="true" outlineLevel="0" collapsed="false">
      <c r="A8" s="13" t="s">
        <v>153</v>
      </c>
      <c r="B8" s="13" t="s">
        <v>329</v>
      </c>
      <c r="C8" s="43" t="n">
        <f aca="false">IFERROR(AVERAGEIF(GN_Boletim!$B$5:$B$23,A8,GN_Boletim!$I$5:$I$23),1)</f>
        <v>1</v>
      </c>
      <c r="D8" s="43" t="n">
        <f aca="false">C8*GN_Boletim!$C$35</f>
        <v>3.67</v>
      </c>
      <c r="E8" s="43" t="n">
        <f aca="false">IF(Premissas!$C$19="SEM",D8*(1-IFERROR(INDEX(GN_Boletim!$D$39:$D$43,MATCH(B8,GN_Boletim!$A$39:$A$43,0)),0)),D8)</f>
        <v>3.67</v>
      </c>
      <c r="F8" s="42" t="n">
        <f aca="false">E8/Premissas!$C$23/Premissas!$C$15</f>
        <v>19.1255987219172</v>
      </c>
      <c r="G8" s="39" t="str">
        <f aca="false">IF(COUNTIF(GN_Boletim!$B$5:$B$23,A8)=0,"SIM — nacional","")</f>
        <v>SIM — nacional</v>
      </c>
    </row>
    <row r="9" customFormat="false" ht="14.25" hidden="false" customHeight="true" outlineLevel="0" collapsed="false">
      <c r="A9" s="13" t="s">
        <v>206</v>
      </c>
      <c r="B9" s="13" t="s">
        <v>307</v>
      </c>
      <c r="C9" s="43" t="n">
        <f aca="false">IFERROR(AVERAGEIF(GN_Boletim!$B$5:$B$23,A9,GN_Boletim!$I$5:$I$23),1)</f>
        <v>0.793556085918854</v>
      </c>
      <c r="D9" s="43" t="n">
        <f aca="false">C9*GN_Boletim!$C$35</f>
        <v>2.9123508353222</v>
      </c>
      <c r="E9" s="43" t="n">
        <f aca="false">IF(Premissas!$C$19="SEM",D9*(1-IFERROR(INDEX(GN_Boletim!$D$39:$D$43,MATCH(B9,GN_Boletim!$A$39:$A$43,0)),0)),D9)</f>
        <v>2.9123508353222</v>
      </c>
      <c r="F9" s="42" t="n">
        <f aca="false">E9/Premissas!$C$23/Premissas!$C$15</f>
        <v>15.1772352626193</v>
      </c>
      <c r="G9" s="39" t="str">
        <f aca="false">IF(COUNTIF(GN_Boletim!$B$5:$B$23,A9)=0,"SIM — nacional","")</f>
        <v/>
      </c>
    </row>
    <row r="10" customFormat="false" ht="14.25" hidden="false" customHeight="true" outlineLevel="0" collapsed="false">
      <c r="A10" s="13" t="s">
        <v>246</v>
      </c>
      <c r="B10" s="13" t="s">
        <v>307</v>
      </c>
      <c r="C10" s="43" t="n">
        <f aca="false">IFERROR(AVERAGEIF(GN_Boletim!$B$5:$B$23,A10,GN_Boletim!$I$5:$I$23),1)</f>
        <v>1.11575178997613</v>
      </c>
      <c r="D10" s="43" t="n">
        <f aca="false">C10*GN_Boletim!$C$35</f>
        <v>4.09480906921241</v>
      </c>
      <c r="E10" s="43" t="n">
        <f aca="false">IF(Premissas!$C$19="SEM",D10*(1-IFERROR(INDEX(GN_Boletim!$D$39:$D$43,MATCH(B10,GN_Boletim!$A$39:$A$43,0)),0)),D10)</f>
        <v>4.09480906921241</v>
      </c>
      <c r="F10" s="42" t="n">
        <f aca="false">E10/Premissas!$C$23/Premissas!$C$15</f>
        <v>21.3394210083444</v>
      </c>
      <c r="G10" s="39" t="str">
        <f aca="false">IF(COUNTIF(GN_Boletim!$B$5:$B$23,A10)=0,"SIM — nacional","")</f>
        <v/>
      </c>
    </row>
    <row r="11" customFormat="false" ht="14.25" hidden="false" customHeight="true" outlineLevel="0" collapsed="false">
      <c r="A11" s="13" t="s">
        <v>271</v>
      </c>
      <c r="B11" s="13" t="s">
        <v>325</v>
      </c>
      <c r="C11" s="43" t="n">
        <f aca="false">IFERROR(AVERAGEIF(GN_Boletim!$B$5:$B$23,A11,GN_Boletim!$I$5:$I$23),1)</f>
        <v>1</v>
      </c>
      <c r="D11" s="43" t="n">
        <f aca="false">C11*GN_Boletim!$C$35</f>
        <v>3.67</v>
      </c>
      <c r="E11" s="43" t="n">
        <f aca="false">IF(Premissas!$C$19="SEM",D11*(1-IFERROR(INDEX(GN_Boletim!$D$39:$D$43,MATCH(B11,GN_Boletim!$A$39:$A$43,0)),0)),D11)</f>
        <v>3.67</v>
      </c>
      <c r="F11" s="42" t="n">
        <f aca="false">E11/Premissas!$C$23/Premissas!$C$15</f>
        <v>19.1255987219172</v>
      </c>
      <c r="G11" s="39" t="str">
        <f aca="false">IF(COUNTIF(GN_Boletim!$B$5:$B$23,A11)=0,"SIM — nacional","")</f>
        <v>SIM — nacional</v>
      </c>
    </row>
    <row r="12" customFormat="false" ht="14.25" hidden="false" customHeight="true" outlineLevel="0" collapsed="false">
      <c r="A12" s="13" t="s">
        <v>232</v>
      </c>
      <c r="B12" s="13" t="s">
        <v>310</v>
      </c>
      <c r="C12" s="43" t="n">
        <f aca="false">IFERROR(AVERAGEIF(GN_Boletim!$B$5:$B$23,A12,GN_Boletim!$I$5:$I$23),1)</f>
        <v>0.990453460620525</v>
      </c>
      <c r="D12" s="43" t="n">
        <f aca="false">C12*GN_Boletim!$C$35</f>
        <v>3.63496420047733</v>
      </c>
      <c r="E12" s="43" t="n">
        <f aca="false">IF(Premissas!$C$19="SEM",D12*(1-IFERROR(INDEX(GN_Boletim!$D$39:$D$43,MATCH(B12,GN_Boletim!$A$39:$A$43,0)),0)),D12)</f>
        <v>3.63496420047733</v>
      </c>
      <c r="F12" s="42" t="n">
        <f aca="false">E12/Premissas!$C$23/Premissas!$C$15</f>
        <v>18.9430154405624</v>
      </c>
      <c r="G12" s="39" t="str">
        <f aca="false">IF(COUNTIF(GN_Boletim!$B$5:$B$23,A12)=0,"SIM — nacional","")</f>
        <v/>
      </c>
    </row>
    <row r="13" customFormat="false" ht="14.25" hidden="false" customHeight="true" outlineLevel="0" collapsed="false">
      <c r="A13" s="13" t="s">
        <v>202</v>
      </c>
      <c r="B13" s="13" t="s">
        <v>325</v>
      </c>
      <c r="C13" s="43" t="n">
        <f aca="false">IFERROR(AVERAGEIF(GN_Boletim!$B$5:$B$23,A13,GN_Boletim!$I$5:$I$23),1)</f>
        <v>1</v>
      </c>
      <c r="D13" s="43" t="n">
        <f aca="false">C13*GN_Boletim!$C$35</f>
        <v>3.67</v>
      </c>
      <c r="E13" s="43" t="n">
        <f aca="false">IF(Premissas!$C$19="SEM",D13*(1-IFERROR(INDEX(GN_Boletim!$D$39:$D$43,MATCH(B13,GN_Boletim!$A$39:$A$43,0)),0)),D13)</f>
        <v>3.67</v>
      </c>
      <c r="F13" s="42" t="n">
        <f aca="false">E13/Premissas!$C$23/Premissas!$C$15</f>
        <v>19.1255987219172</v>
      </c>
      <c r="G13" s="39" t="str">
        <f aca="false">IF(COUNTIF(GN_Boletim!$B$5:$B$23,A13)=0,"SIM — nacional","")</f>
        <v>SIM — nacional</v>
      </c>
    </row>
    <row r="14" customFormat="false" ht="14.25" hidden="false" customHeight="true" outlineLevel="0" collapsed="false">
      <c r="A14" s="13" t="s">
        <v>255</v>
      </c>
      <c r="B14" s="13" t="s">
        <v>307</v>
      </c>
      <c r="C14" s="43" t="n">
        <f aca="false">IFERROR(AVERAGEIF(GN_Boletim!$B$5:$B$23,A14,GN_Boletim!$I$5:$I$23),1)</f>
        <v>1</v>
      </c>
      <c r="D14" s="43" t="n">
        <f aca="false">C14*GN_Boletim!$C$35</f>
        <v>3.67</v>
      </c>
      <c r="E14" s="43" t="n">
        <f aca="false">IF(Premissas!$C$19="SEM",D14*(1-IFERROR(INDEX(GN_Boletim!$D$39:$D$43,MATCH(B14,GN_Boletim!$A$39:$A$43,0)),0)),D14)</f>
        <v>3.67</v>
      </c>
      <c r="F14" s="42" t="n">
        <f aca="false">E14/Premissas!$C$23/Premissas!$C$15</f>
        <v>19.1255987219172</v>
      </c>
      <c r="G14" s="39" t="str">
        <f aca="false">IF(COUNTIF(GN_Boletim!$B$5:$B$23,A14)=0,"SIM — nacional","")</f>
        <v>SIM — nacional</v>
      </c>
    </row>
    <row r="15" customFormat="false" ht="14.25" hidden="false" customHeight="true" outlineLevel="0" collapsed="false">
      <c r="A15" s="13" t="s">
        <v>167</v>
      </c>
      <c r="B15" s="13" t="s">
        <v>310</v>
      </c>
      <c r="C15" s="43" t="n">
        <f aca="false">IFERROR(AVERAGEIF(GN_Boletim!$B$5:$B$23,A15,GN_Boletim!$I$5:$I$23),1)</f>
        <v>0.924821002386635</v>
      </c>
      <c r="D15" s="43" t="n">
        <f aca="false">C15*GN_Boletim!$C$35</f>
        <v>3.39409307875895</v>
      </c>
      <c r="E15" s="43" t="n">
        <f aca="false">IF(Premissas!$C$19="SEM",D15*(1-IFERROR(INDEX(GN_Boletim!$D$39:$D$43,MATCH(B15,GN_Boletim!$A$39:$A$43,0)),0)),D15)</f>
        <v>3.39409307875895</v>
      </c>
      <c r="F15" s="42" t="n">
        <f aca="false">E15/Premissas!$C$23/Premissas!$C$15</f>
        <v>17.687755381248</v>
      </c>
      <c r="G15" s="39" t="str">
        <f aca="false">IF(COUNTIF(GN_Boletim!$B$5:$B$23,A15)=0,"SIM — nacional","")</f>
        <v/>
      </c>
    </row>
    <row r="16" customFormat="false" ht="14.25" hidden="false" customHeight="true" outlineLevel="0" collapsed="false">
      <c r="A16" s="13" t="s">
        <v>242</v>
      </c>
      <c r="B16" s="13" t="s">
        <v>325</v>
      </c>
      <c r="C16" s="43" t="n">
        <f aca="false">IFERROR(AVERAGEIF(GN_Boletim!$B$5:$B$23,A16,GN_Boletim!$I$5:$I$23),1)</f>
        <v>0.996420047732697</v>
      </c>
      <c r="D16" s="43" t="n">
        <f aca="false">C16*GN_Boletim!$C$35</f>
        <v>3.656861575179</v>
      </c>
      <c r="E16" s="43" t="n">
        <f aca="false">IF(Premissas!$C$19="SEM",D16*(1-IFERROR(INDEX(GN_Boletim!$D$39:$D$43,MATCH(B16,GN_Boletim!$A$39:$A$43,0)),0)),D16)</f>
        <v>3.656861575179</v>
      </c>
      <c r="F16" s="42" t="n">
        <f aca="false">E16/Premissas!$C$23/Premissas!$C$15</f>
        <v>19.0571299914092</v>
      </c>
      <c r="G16" s="39" t="str">
        <f aca="false">IF(COUNTIF(GN_Boletim!$B$5:$B$23,A16)=0,"SIM — nacional","")</f>
        <v/>
      </c>
    </row>
    <row r="17" customFormat="false" ht="14.25" hidden="false" customHeight="true" outlineLevel="0" collapsed="false">
      <c r="A17" s="13" t="s">
        <v>244</v>
      </c>
      <c r="B17" s="13" t="s">
        <v>325</v>
      </c>
      <c r="C17" s="43" t="n">
        <f aca="false">IFERROR(AVERAGEIF(GN_Boletim!$B$5:$B$23,A17,GN_Boletim!$I$5:$I$23),1)</f>
        <v>1</v>
      </c>
      <c r="D17" s="43" t="n">
        <f aca="false">C17*GN_Boletim!$C$35</f>
        <v>3.67</v>
      </c>
      <c r="E17" s="43" t="n">
        <f aca="false">IF(Premissas!$C$19="SEM",D17*(1-IFERROR(INDEX(GN_Boletim!$D$39:$D$43,MATCH(B17,GN_Boletim!$A$39:$A$43,0)),0)),D17)</f>
        <v>3.67</v>
      </c>
      <c r="F17" s="42" t="n">
        <f aca="false">E17/Premissas!$C$23/Premissas!$C$15</f>
        <v>19.1255987219172</v>
      </c>
      <c r="G17" s="39" t="str">
        <f aca="false">IF(COUNTIF(GN_Boletim!$B$5:$B$23,A17)=0,"SIM — nacional","")</f>
        <v>SIM — nacional</v>
      </c>
    </row>
    <row r="18" customFormat="false" ht="14.25" hidden="false" customHeight="true" outlineLevel="0" collapsed="false">
      <c r="A18" s="13" t="s">
        <v>257</v>
      </c>
      <c r="B18" s="13" t="s">
        <v>329</v>
      </c>
      <c r="C18" s="43" t="n">
        <f aca="false">IFERROR(AVERAGEIF(GN_Boletim!$B$5:$B$23,A18,GN_Boletim!$I$5:$I$23),1)</f>
        <v>1</v>
      </c>
      <c r="D18" s="43" t="n">
        <f aca="false">C18*GN_Boletim!$C$35</f>
        <v>3.67</v>
      </c>
      <c r="E18" s="43" t="n">
        <f aca="false">IF(Premissas!$C$19="SEM",D18*(1-IFERROR(INDEX(GN_Boletim!$D$39:$D$43,MATCH(B18,GN_Boletim!$A$39:$A$43,0)),0)),D18)</f>
        <v>3.67</v>
      </c>
      <c r="F18" s="42" t="n">
        <f aca="false">E18/Premissas!$C$23/Premissas!$C$15</f>
        <v>19.1255987219172</v>
      </c>
      <c r="G18" s="39" t="str">
        <f aca="false">IF(COUNTIF(GN_Boletim!$B$5:$B$23,A18)=0,"SIM — nacional","")</f>
        <v>SIM — nacional</v>
      </c>
    </row>
    <row r="19" customFormat="false" ht="14.25" hidden="false" customHeight="true" outlineLevel="0" collapsed="false">
      <c r="A19" s="13" t="s">
        <v>250</v>
      </c>
      <c r="B19" s="13" t="s">
        <v>307</v>
      </c>
      <c r="C19" s="43" t="n">
        <f aca="false">IFERROR(AVERAGEIF(GN_Boletim!$B$5:$B$23,A19,GN_Boletim!$I$5:$I$23),1)</f>
        <v>1.05011933174224</v>
      </c>
      <c r="D19" s="43" t="n">
        <f aca="false">C19*GN_Boletim!$C$35</f>
        <v>3.85393794749403</v>
      </c>
      <c r="E19" s="43" t="n">
        <f aca="false">IF(Premissas!$C$19="SEM",D19*(1-IFERROR(INDEX(GN_Boletim!$D$39:$D$43,MATCH(B19,GN_Boletim!$A$39:$A$43,0)),0)),D19)</f>
        <v>3.85393794749403</v>
      </c>
      <c r="F19" s="42" t="n">
        <f aca="false">E19/Premissas!$C$23/Premissas!$C$15</f>
        <v>20.08416094903</v>
      </c>
      <c r="G19" s="39" t="str">
        <f aca="false">IF(COUNTIF(GN_Boletim!$B$5:$B$23,A19)=0,"SIM — nacional","")</f>
        <v/>
      </c>
    </row>
    <row r="20" customFormat="false" ht="14.25" hidden="false" customHeight="true" outlineLevel="0" collapsed="false">
      <c r="A20" s="13" t="s">
        <v>273</v>
      </c>
      <c r="B20" s="13" t="s">
        <v>307</v>
      </c>
      <c r="C20" s="43" t="n">
        <f aca="false">IFERROR(AVERAGEIF(GN_Boletim!$B$5:$B$23,A20,GN_Boletim!$I$5:$I$23),1)</f>
        <v>0.984486873508353</v>
      </c>
      <c r="D20" s="43" t="n">
        <f aca="false">C20*GN_Boletim!$C$35</f>
        <v>3.61306682577566</v>
      </c>
      <c r="E20" s="43" t="n">
        <f aca="false">IF(Premissas!$C$19="SEM",D20*(1-IFERROR(INDEX(GN_Boletim!$D$39:$D$43,MATCH(B20,GN_Boletim!$A$39:$A$43,0)),0)),D20)</f>
        <v>3.61306682577566</v>
      </c>
      <c r="F20" s="42" t="n">
        <f aca="false">E20/Premissas!$C$23/Premissas!$C$15</f>
        <v>18.8289008897156</v>
      </c>
      <c r="G20" s="39" t="str">
        <f aca="false">IF(COUNTIF(GN_Boletim!$B$5:$B$23,A20)=0,"SIM — nacional","")</f>
        <v/>
      </c>
    </row>
    <row r="21" customFormat="false" ht="14.25" hidden="false" customHeight="true" outlineLevel="0" collapsed="false">
      <c r="A21" s="13" t="s">
        <v>259</v>
      </c>
      <c r="B21" s="13" t="s">
        <v>307</v>
      </c>
      <c r="C21" s="43" t="n">
        <f aca="false">IFERROR(AVERAGEIF(GN_Boletim!$B$5:$B$23,A21,GN_Boletim!$I$5:$I$23),1)</f>
        <v>1</v>
      </c>
      <c r="D21" s="43" t="n">
        <f aca="false">C21*GN_Boletim!$C$35</f>
        <v>3.67</v>
      </c>
      <c r="E21" s="43" t="n">
        <f aca="false">IF(Premissas!$C$19="SEM",D21*(1-IFERROR(INDEX(GN_Boletim!$D$39:$D$43,MATCH(B21,GN_Boletim!$A$39:$A$43,0)),0)),D21)</f>
        <v>3.67</v>
      </c>
      <c r="F21" s="42" t="n">
        <f aca="false">E21/Premissas!$C$23/Premissas!$C$15</f>
        <v>19.1255987219172</v>
      </c>
      <c r="G21" s="39" t="str">
        <f aca="false">IF(COUNTIF(GN_Boletim!$B$5:$B$23,A21)=0,"SIM — nacional","")</f>
        <v>SIM — nacional</v>
      </c>
    </row>
    <row r="22" customFormat="false" ht="14.25" hidden="false" customHeight="true" outlineLevel="0" collapsed="false">
      <c r="A22" s="13" t="s">
        <v>150</v>
      </c>
      <c r="B22" s="13" t="s">
        <v>323</v>
      </c>
      <c r="C22" s="43" t="n">
        <f aca="false">IFERROR(AVERAGEIF(GN_Boletim!$B$5:$B$23,A22,GN_Boletim!$I$5:$I$23),1)</f>
        <v>1.00835322195704</v>
      </c>
      <c r="D22" s="43" t="n">
        <f aca="false">C22*GN_Boletim!$C$35</f>
        <v>3.70065632458234</v>
      </c>
      <c r="E22" s="43" t="n">
        <f aca="false">IF(Premissas!$C$19="SEM",D22*(1-IFERROR(INDEX(GN_Boletim!$D$39:$D$43,MATCH(B22,GN_Boletim!$A$39:$A$43,0)),0)),D22)</f>
        <v>3.70065632458234</v>
      </c>
      <c r="F22" s="42" t="n">
        <f aca="false">E22/Premissas!$C$23/Premissas!$C$15</f>
        <v>19.2853590931027</v>
      </c>
      <c r="G22" s="39" t="str">
        <f aca="false">IF(COUNTIF(GN_Boletim!$B$5:$B$23,A22)=0,"SIM — nacional","")</f>
        <v/>
      </c>
    </row>
    <row r="23" customFormat="false" ht="14.25" hidden="false" customHeight="true" outlineLevel="0" collapsed="false">
      <c r="A23" s="13" t="s">
        <v>248</v>
      </c>
      <c r="B23" s="13" t="s">
        <v>310</v>
      </c>
      <c r="C23" s="43" t="n">
        <f aca="false">IFERROR(AVERAGEIF(GN_Boletim!$B$5:$B$23,A23,GN_Boletim!$I$5:$I$23),1)</f>
        <v>1.0799522673031</v>
      </c>
      <c r="D23" s="43" t="n">
        <f aca="false">C23*GN_Boletim!$C$35</f>
        <v>3.96342482100239</v>
      </c>
      <c r="E23" s="43" t="n">
        <f aca="false">IF(Premissas!$C$19="SEM",D23*(1-IFERROR(INDEX(GN_Boletim!$D$39:$D$43,MATCH(B23,GN_Boletim!$A$39:$A$43,0)),0)),D23)</f>
        <v>3.96342482100239</v>
      </c>
      <c r="F23" s="42" t="n">
        <f aca="false">E23/Premissas!$C$23/Premissas!$C$15</f>
        <v>20.6547337032638</v>
      </c>
      <c r="G23" s="39" t="str">
        <f aca="false">IF(COUNTIF(GN_Boletim!$B$5:$B$23,A23)=0,"SIM — nacional","")</f>
        <v/>
      </c>
    </row>
    <row r="24" customFormat="false" ht="14.25" hidden="false" customHeight="true" outlineLevel="0" collapsed="false">
      <c r="A24" s="13" t="s">
        <v>219</v>
      </c>
      <c r="B24" s="13" t="s">
        <v>307</v>
      </c>
      <c r="C24" s="43" t="n">
        <f aca="false">IFERROR(AVERAGEIF(GN_Boletim!$B$5:$B$23,A24,GN_Boletim!$I$5:$I$23),1)</f>
        <v>1.05608591885442</v>
      </c>
      <c r="D24" s="43" t="n">
        <f aca="false">C24*GN_Boletim!$C$35</f>
        <v>3.8758353221957</v>
      </c>
      <c r="E24" s="43" t="n">
        <f aca="false">IF(Premissas!$C$19="SEM",D24*(1-IFERROR(INDEX(GN_Boletim!$D$39:$D$43,MATCH(B24,GN_Boletim!$A$39:$A$43,0)),0)),D24)</f>
        <v>3.8758353221957</v>
      </c>
      <c r="F24" s="42" t="n">
        <f aca="false">E24/Premissas!$C$23/Premissas!$C$15</f>
        <v>20.1982754998768</v>
      </c>
      <c r="G24" s="39" t="str">
        <f aca="false">IF(COUNTIF(GN_Boletim!$B$5:$B$23,A24)=0,"SIM — nacional","")</f>
        <v/>
      </c>
    </row>
    <row r="25" customFormat="false" ht="14.25" hidden="false" customHeight="true" outlineLevel="0" collapsed="false">
      <c r="A25" s="13" t="s">
        <v>261</v>
      </c>
      <c r="B25" s="13" t="s">
        <v>329</v>
      </c>
      <c r="C25" s="43" t="n">
        <f aca="false">IFERROR(AVERAGEIF(GN_Boletim!$B$5:$B$23,A25,GN_Boletim!$I$5:$I$23),1)</f>
        <v>1</v>
      </c>
      <c r="D25" s="43" t="n">
        <f aca="false">C25*GN_Boletim!$C$35</f>
        <v>3.67</v>
      </c>
      <c r="E25" s="43" t="n">
        <f aca="false">IF(Premissas!$C$19="SEM",D25*(1-IFERROR(INDEX(GN_Boletim!$D$39:$D$43,MATCH(B25,GN_Boletim!$A$39:$A$43,0)),0)),D25)</f>
        <v>3.67</v>
      </c>
      <c r="F25" s="42" t="n">
        <f aca="false">E25/Premissas!$C$23/Premissas!$C$15</f>
        <v>19.1255987219172</v>
      </c>
      <c r="G25" s="39" t="str">
        <f aca="false">IF(COUNTIF(GN_Boletim!$B$5:$B$23,A25)=0,"SIM — nacional","")</f>
        <v>SIM — nacional</v>
      </c>
    </row>
    <row r="26" customFormat="false" ht="14.25" hidden="false" customHeight="true" outlineLevel="0" collapsed="false">
      <c r="A26" s="13" t="s">
        <v>280</v>
      </c>
      <c r="B26" s="13" t="s">
        <v>329</v>
      </c>
      <c r="C26" s="43" t="n">
        <f aca="false">IFERROR(AVERAGEIF(GN_Boletim!$B$5:$B$23,A26,GN_Boletim!$I$5:$I$23),1)</f>
        <v>1</v>
      </c>
      <c r="D26" s="43" t="n">
        <f aca="false">C26*GN_Boletim!$C$35</f>
        <v>3.67</v>
      </c>
      <c r="E26" s="43" t="n">
        <f aca="false">IF(Premissas!$C$19="SEM",D26*(1-IFERROR(INDEX(GN_Boletim!$D$39:$D$43,MATCH(B26,GN_Boletim!$A$39:$A$43,0)),0)),D26)</f>
        <v>3.67</v>
      </c>
      <c r="F26" s="42" t="n">
        <f aca="false">E26/Premissas!$C$23/Premissas!$C$15</f>
        <v>19.1255987219172</v>
      </c>
      <c r="G26" s="39" t="str">
        <f aca="false">IF(COUNTIF(GN_Boletim!$B$5:$B$23,A26)=0,"SIM — nacional","")</f>
        <v>SIM — nacional</v>
      </c>
    </row>
    <row r="27" customFormat="false" ht="14.25" hidden="false" customHeight="true" outlineLevel="0" collapsed="false">
      <c r="A27" s="13" t="s">
        <v>160</v>
      </c>
      <c r="B27" s="13" t="s">
        <v>323</v>
      </c>
      <c r="C27" s="43" t="n">
        <f aca="false">IFERROR(AVERAGEIF(GN_Boletim!$B$5:$B$23,A27,GN_Boletim!$I$5:$I$23),1)</f>
        <v>1.0799522673031</v>
      </c>
      <c r="D27" s="43" t="n">
        <f aca="false">C27*GN_Boletim!$C$35</f>
        <v>3.96342482100239</v>
      </c>
      <c r="E27" s="43" t="n">
        <f aca="false">IF(Premissas!$C$19="SEM",D27*(1-IFERROR(INDEX(GN_Boletim!$D$39:$D$43,MATCH(B27,GN_Boletim!$A$39:$A$43,0)),0)),D27)</f>
        <v>3.96342482100239</v>
      </c>
      <c r="F27" s="42" t="n">
        <f aca="false">E27/Premissas!$C$23/Premissas!$C$15</f>
        <v>20.6547337032638</v>
      </c>
      <c r="G27" s="39" t="str">
        <f aca="false">IF(COUNTIF(GN_Boletim!$B$5:$B$23,A27)=0,"SIM — nacional","")</f>
        <v/>
      </c>
    </row>
    <row r="28" customFormat="false" ht="14.25" hidden="false" customHeight="true" outlineLevel="0" collapsed="false">
      <c r="A28" s="13" t="s">
        <v>164</v>
      </c>
      <c r="B28" s="13" t="s">
        <v>323</v>
      </c>
      <c r="C28" s="43" t="n">
        <f aca="false">IFERROR(AVERAGEIF(GN_Boletim!$B$5:$B$23,A28,GN_Boletim!$I$5:$I$23),1)</f>
        <v>1.00238663484487</v>
      </c>
      <c r="D28" s="43" t="n">
        <f aca="false">C28*GN_Boletim!$C$35</f>
        <v>3.67875894988067</v>
      </c>
      <c r="E28" s="43" t="n">
        <f aca="false">IF(Premissas!$C$19="SEM",D28*(1-IFERROR(INDEX(GN_Boletim!$D$39:$D$43,MATCH(B28,GN_Boletim!$A$39:$A$43,0)),0)),D28)</f>
        <v>3.67875894988067</v>
      </c>
      <c r="F28" s="42" t="n">
        <f aca="false">E28/Premissas!$C$23/Premissas!$C$15</f>
        <v>19.1712445422559</v>
      </c>
      <c r="G28" s="39" t="str">
        <f aca="false">IF(COUNTIF(GN_Boletim!$B$5:$B$23,A28)=0,"SIM — nacional","")</f>
        <v/>
      </c>
    </row>
    <row r="29" customFormat="false" ht="14.25" hidden="false" customHeight="true" outlineLevel="0" collapsed="false">
      <c r="A29" s="13" t="s">
        <v>263</v>
      </c>
      <c r="B29" s="13" t="s">
        <v>307</v>
      </c>
      <c r="C29" s="43" t="n">
        <f aca="false">IFERROR(AVERAGEIF(GN_Boletim!$B$5:$B$23,A29,GN_Boletim!$I$5:$I$23),1)</f>
        <v>1.0381861575179</v>
      </c>
      <c r="D29" s="43" t="n">
        <f aca="false">C29*GN_Boletim!$C$35</f>
        <v>3.81014319809069</v>
      </c>
      <c r="E29" s="43" t="n">
        <f aca="false">IF(Premissas!$C$19="SEM",D29*(1-IFERROR(INDEX(GN_Boletim!$D$39:$D$43,MATCH(B29,GN_Boletim!$A$39:$A$43,0)),0)),D29)</f>
        <v>3.81014319809069</v>
      </c>
      <c r="F29" s="42" t="n">
        <f aca="false">E29/Premissas!$C$23/Premissas!$C$15</f>
        <v>19.8559318473365</v>
      </c>
      <c r="G29" s="39" t="str">
        <f aca="false">IF(COUNTIF(GN_Boletim!$B$5:$B$23,A29)=0,"SIM — nacional","")</f>
        <v/>
      </c>
    </row>
    <row r="30" customFormat="false" ht="14.25" hidden="false" customHeight="true" outlineLevel="0" collapsed="false">
      <c r="A30" s="13" t="s">
        <v>221</v>
      </c>
      <c r="B30" s="13" t="s">
        <v>310</v>
      </c>
      <c r="C30" s="43" t="n">
        <f aca="false">IFERROR(AVERAGEIF(GN_Boletim!$B$5:$B$23,A30,GN_Boletim!$I$5:$I$23),1)</f>
        <v>1.01034208432776</v>
      </c>
      <c r="D30" s="43" t="n">
        <f aca="false">C30*GN_Boletim!$C$35</f>
        <v>3.7079554494829</v>
      </c>
      <c r="E30" s="43" t="n">
        <f aca="false">IF(Premissas!$C$19="SEM",D30*(1-IFERROR(INDEX(GN_Boletim!$D$39:$D$43,MATCH(B30,GN_Boletim!$A$39:$A$43,0)),0)),D30)</f>
        <v>3.7079554494829</v>
      </c>
      <c r="F30" s="42" t="n">
        <f aca="false">E30/Premissas!$C$23/Premissas!$C$15</f>
        <v>19.3233972767183</v>
      </c>
      <c r="G30" s="39" t="str">
        <f aca="false">IF(COUNTIF(GN_Boletim!$B$5:$B$23,A30)=0,"SIM — nacional","")</f>
        <v/>
      </c>
    </row>
    <row r="31" customFormat="false" ht="14.25" hidden="false" customHeight="true" outlineLevel="0" collapsed="false">
      <c r="A31" s="13" t="s">
        <v>266</v>
      </c>
      <c r="B31" s="13" t="s">
        <v>329</v>
      </c>
      <c r="C31" s="43" t="n">
        <f aca="false">IFERROR(AVERAGEIF(GN_Boletim!$B$5:$B$23,A31,GN_Boletim!$I$5:$I$23),1)</f>
        <v>1</v>
      </c>
      <c r="D31" s="43" t="n">
        <f aca="false">C31*GN_Boletim!$C$35</f>
        <v>3.67</v>
      </c>
      <c r="E31" s="43" t="n">
        <f aca="false">IF(Premissas!$C$19="SEM",D31*(1-IFERROR(INDEX(GN_Boletim!$D$39:$D$43,MATCH(B31,GN_Boletim!$A$39:$A$43,0)),0)),D31)</f>
        <v>3.67</v>
      </c>
      <c r="F31" s="42" t="n">
        <f aca="false">E31/Premissas!$C$23/Premissas!$C$15</f>
        <v>19.1255987219172</v>
      </c>
      <c r="G31" s="39" t="str">
        <f aca="false">IF(COUNTIF(GN_Boletim!$B$5:$B$23,A31)=0,"SIM — nacional","")</f>
        <v>SIM — nacional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6"/>
    <col collapsed="false" customWidth="true" hidden="false" outlineLevel="0" max="4" min="4" style="1" width="12"/>
    <col collapsed="false" customWidth="true" hidden="false" outlineLevel="0" max="5" min="5" style="1" width="16"/>
    <col collapsed="false" customWidth="true" hidden="false" outlineLevel="0" max="6" min="6" style="1" width="12"/>
  </cols>
  <sheetData>
    <row r="1" customFormat="false" ht="15" hidden="false" customHeight="true" outlineLevel="0" collapsed="false">
      <c r="A1" s="48" t="s">
        <v>352</v>
      </c>
    </row>
    <row r="2" customFormat="false" ht="126.75" hidden="false" customHeight="true" outlineLevel="0" collapsed="false">
      <c r="A2" s="49" t="s">
        <v>353</v>
      </c>
    </row>
    <row r="4" customFormat="false" ht="15" hidden="false" customHeight="true" outlineLevel="0" collapsed="false">
      <c r="A4" s="50" t="s">
        <v>354</v>
      </c>
      <c r="B4" s="50" t="s">
        <v>355</v>
      </c>
      <c r="C4" s="50" t="s">
        <v>356</v>
      </c>
      <c r="D4" s="50" t="s">
        <v>357</v>
      </c>
      <c r="E4" s="50" t="s">
        <v>358</v>
      </c>
      <c r="F4" s="50" t="s">
        <v>359</v>
      </c>
    </row>
    <row r="5" customFormat="false" ht="15" hidden="false" customHeight="true" outlineLevel="0" collapsed="false">
      <c r="A5" s="51" t="n">
        <v>2022</v>
      </c>
      <c r="B5" s="52" t="n">
        <v>5379476170</v>
      </c>
      <c r="C5" s="52" t="n">
        <v>16521372159</v>
      </c>
      <c r="D5" s="30" t="n">
        <f aca="false">B5/C5*1000</f>
        <v>325.60710564646</v>
      </c>
      <c r="E5" s="52" t="n">
        <v>4983280595</v>
      </c>
      <c r="F5" s="30" t="n">
        <f aca="false">E5/C5*1000</f>
        <v>301.62631451198</v>
      </c>
    </row>
    <row r="6" customFormat="false" ht="15" hidden="false" customHeight="true" outlineLevel="0" collapsed="false">
      <c r="A6" s="51" t="n">
        <v>2023</v>
      </c>
      <c r="B6" s="52" t="n">
        <v>3882374416</v>
      </c>
      <c r="C6" s="52" t="n">
        <v>16001240871</v>
      </c>
      <c r="D6" s="30" t="n">
        <f aca="false">B6/C6*1000</f>
        <v>242.629583999092</v>
      </c>
      <c r="E6" s="52" t="n">
        <v>3629414374</v>
      </c>
      <c r="F6" s="30" t="n">
        <f aca="false">E6/C6*1000</f>
        <v>226.820807414868</v>
      </c>
    </row>
    <row r="7" customFormat="false" ht="15" hidden="false" customHeight="true" outlineLevel="0" collapsed="false">
      <c r="A7" s="51" t="n">
        <v>2024</v>
      </c>
      <c r="B7" s="52" t="n">
        <v>3088863498</v>
      </c>
      <c r="C7" s="52" t="n">
        <v>15588893168</v>
      </c>
      <c r="D7" s="30" t="n">
        <f aca="false">B7/C7*1000</f>
        <v>198.1451450537</v>
      </c>
      <c r="E7" s="52" t="n">
        <v>2837482343</v>
      </c>
      <c r="F7" s="30" t="n">
        <f aca="false">E7/C7*1000</f>
        <v>182.019487363261</v>
      </c>
    </row>
    <row r="9" customFormat="false" ht="15" hidden="false" customHeight="true" outlineLevel="0" collapsed="false">
      <c r="A9" s="53" t="s">
        <v>360</v>
      </c>
      <c r="D9" s="30" t="n">
        <f aca="false">IF(Premissas!C6=0,AVERAGE(D5:D7),INDEX(D5:D7,MATCH(Premissas!C6,A5:A7,0)))</f>
        <v>198.1451450537</v>
      </c>
    </row>
    <row r="10" customFormat="false" ht="15" hidden="false" customHeight="true" outlineLevel="0" collapsed="false">
      <c r="A10" s="29" t="s">
        <v>361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0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95"/>
  </cols>
  <sheetData>
    <row r="1" customFormat="false" ht="15" hidden="false" customHeight="true" outlineLevel="0" collapsed="false">
      <c r="A1" s="48" t="s">
        <v>362</v>
      </c>
    </row>
    <row r="2" customFormat="false" ht="84.75" hidden="false" customHeight="true" outlineLevel="0" collapsed="false">
      <c r="A2" s="49" t="s">
        <v>363</v>
      </c>
    </row>
    <row r="4" customFormat="false" ht="15" hidden="false" customHeight="true" outlineLevel="0" collapsed="false">
      <c r="A4" s="7" t="s">
        <v>364</v>
      </c>
    </row>
    <row r="5" customFormat="false" ht="15" hidden="false" customHeight="true" outlineLevel="0" collapsed="false">
      <c r="A5" s="50" t="s">
        <v>365</v>
      </c>
      <c r="B5" s="50" t="s">
        <v>366</v>
      </c>
      <c r="C5" s="50" t="s">
        <v>367</v>
      </c>
      <c r="D5" s="50" t="s">
        <v>368</v>
      </c>
    </row>
    <row r="6" customFormat="false" ht="15" hidden="false" customHeight="true" outlineLevel="0" collapsed="false">
      <c r="A6" s="27" t="s">
        <v>369</v>
      </c>
      <c r="B6" s="32" t="n">
        <v>7.63</v>
      </c>
      <c r="C6" s="54" t="n">
        <v>0.2589</v>
      </c>
      <c r="D6" s="29" t="s">
        <v>370</v>
      </c>
    </row>
    <row r="7" customFormat="false" ht="15" hidden="false" customHeight="true" outlineLevel="0" collapsed="false">
      <c r="A7" s="27" t="s">
        <v>371</v>
      </c>
      <c r="B7" s="32" t="n">
        <v>18.65</v>
      </c>
      <c r="C7" s="54" t="n">
        <v>0.1185</v>
      </c>
      <c r="D7" s="29" t="s">
        <v>372</v>
      </c>
    </row>
    <row r="8" customFormat="false" ht="15" hidden="false" customHeight="true" outlineLevel="0" collapsed="false">
      <c r="A8" s="27" t="s">
        <v>373</v>
      </c>
      <c r="B8" s="54" t="n">
        <v>1.0967</v>
      </c>
      <c r="D8" s="29" t="s">
        <v>374</v>
      </c>
    </row>
    <row r="10" customFormat="false" ht="15" hidden="false" customHeight="true" outlineLevel="0" collapsed="false">
      <c r="A10" s="7" t="s">
        <v>375</v>
      </c>
    </row>
    <row r="11" customFormat="false" ht="15" hidden="false" customHeight="true" outlineLevel="0" collapsed="false">
      <c r="A11" s="50" t="s">
        <v>376</v>
      </c>
      <c r="B11" s="50" t="s">
        <v>365</v>
      </c>
      <c r="C11" s="50" t="s">
        <v>377</v>
      </c>
      <c r="D11" s="50" t="s">
        <v>378</v>
      </c>
      <c r="E11" s="50" t="s">
        <v>379</v>
      </c>
    </row>
    <row r="12" customFormat="false" ht="15" hidden="false" customHeight="true" outlineLevel="0" collapsed="false">
      <c r="A12" s="27" t="s">
        <v>380</v>
      </c>
      <c r="B12" s="27" t="s">
        <v>369</v>
      </c>
      <c r="C12" s="55" t="n">
        <v>463</v>
      </c>
      <c r="D12" s="30" t="n">
        <f aca="false">($B$6+$C$6*C12)</f>
        <v>127.5007</v>
      </c>
      <c r="E12" s="29" t="s">
        <v>381</v>
      </c>
    </row>
    <row r="13" customFormat="false" ht="15" hidden="false" customHeight="true" outlineLevel="0" collapsed="false">
      <c r="A13" s="27" t="s">
        <v>382</v>
      </c>
      <c r="B13" s="27" t="s">
        <v>369</v>
      </c>
      <c r="C13" s="55" t="n">
        <v>111</v>
      </c>
      <c r="D13" s="30" t="n">
        <f aca="false">($B$6+$C$6*C13)</f>
        <v>36.3679</v>
      </c>
      <c r="E13" s="29" t="s">
        <v>383</v>
      </c>
    </row>
    <row r="14" customFormat="false" ht="15" hidden="false" customHeight="true" outlineLevel="0" collapsed="false">
      <c r="A14" s="27" t="s">
        <v>384</v>
      </c>
      <c r="B14" s="27" t="s">
        <v>371</v>
      </c>
      <c r="C14" s="55" t="n">
        <v>460</v>
      </c>
      <c r="D14" s="30" t="n">
        <f aca="false">($B$7+$C$7*C14)*$B$8</f>
        <v>80.234572</v>
      </c>
      <c r="E14" s="29" t="s">
        <v>385</v>
      </c>
    </row>
    <row r="15" customFormat="false" ht="15" hidden="false" customHeight="true" outlineLevel="0" collapsed="false">
      <c r="A15" s="27" t="s">
        <v>386</v>
      </c>
      <c r="B15" s="27" t="s">
        <v>371</v>
      </c>
      <c r="C15" s="55" t="n">
        <v>540</v>
      </c>
      <c r="D15" s="30" t="n">
        <f aca="false">($B$7+$C$7*C15)*$B$8</f>
        <v>90.631288</v>
      </c>
      <c r="E15" s="29" t="s">
        <v>387</v>
      </c>
    </row>
    <row r="17" customFormat="false" ht="15" hidden="false" customHeight="true" outlineLevel="0" collapsed="false">
      <c r="A17" s="7" t="s">
        <v>388</v>
      </c>
    </row>
    <row r="18" customFormat="false" ht="15" hidden="false" customHeight="true" outlineLevel="0" collapsed="false">
      <c r="A18" s="50" t="s">
        <v>389</v>
      </c>
      <c r="B18" s="50" t="s">
        <v>135</v>
      </c>
      <c r="C18" s="50" t="s">
        <v>390</v>
      </c>
      <c r="D18" s="50" t="s">
        <v>391</v>
      </c>
      <c r="E18" s="50" t="s">
        <v>392</v>
      </c>
    </row>
    <row r="19" customFormat="false" ht="15" hidden="false" customHeight="true" outlineLevel="0" collapsed="false">
      <c r="A19" s="27" t="s">
        <v>393</v>
      </c>
      <c r="B19" s="27" t="s">
        <v>167</v>
      </c>
      <c r="C19" s="56" t="n">
        <v>7600</v>
      </c>
      <c r="D19" s="30" t="n">
        <f aca="false">D12</f>
        <v>127.5007</v>
      </c>
      <c r="E19" s="29" t="s">
        <v>369</v>
      </c>
    </row>
    <row r="20" customFormat="false" ht="15" hidden="false" customHeight="true" outlineLevel="0" collapsed="false">
      <c r="A20" s="27" t="s">
        <v>394</v>
      </c>
      <c r="B20" s="27" t="s">
        <v>167</v>
      </c>
      <c r="C20" s="56" t="n">
        <v>3500</v>
      </c>
      <c r="D20" s="30" t="n">
        <f aca="false">D14</f>
        <v>80.234572</v>
      </c>
      <c r="E20" s="29" t="s">
        <v>371</v>
      </c>
    </row>
    <row r="21" customFormat="false" ht="15" hidden="false" customHeight="true" outlineLevel="0" collapsed="false">
      <c r="A21" s="27" t="s">
        <v>395</v>
      </c>
      <c r="B21" s="27" t="s">
        <v>167</v>
      </c>
      <c r="C21" s="56" t="n">
        <v>3500</v>
      </c>
      <c r="D21" s="30" t="n">
        <f aca="false">D15</f>
        <v>90.631288</v>
      </c>
      <c r="E21" s="29" t="s">
        <v>371</v>
      </c>
    </row>
    <row r="22" customFormat="false" ht="15" hidden="false" customHeight="true" outlineLevel="0" collapsed="false">
      <c r="A22" s="27" t="s">
        <v>396</v>
      </c>
      <c r="B22" s="27" t="s">
        <v>248</v>
      </c>
      <c r="C22" s="56" t="n">
        <v>4505</v>
      </c>
      <c r="D22" s="30" t="n">
        <f aca="false">D13</f>
        <v>36.3679</v>
      </c>
      <c r="E22" s="29" t="s">
        <v>369</v>
      </c>
    </row>
    <row r="23" customFormat="false" ht="15" hidden="false" customHeight="true" outlineLevel="0" collapsed="false">
      <c r="A23" s="27" t="s">
        <v>397</v>
      </c>
      <c r="B23" s="27" t="s">
        <v>248</v>
      </c>
      <c r="C23" s="56" t="n">
        <v>5000</v>
      </c>
      <c r="D23" s="57" t="n">
        <v>0</v>
      </c>
      <c r="E23" s="29" t="s">
        <v>398</v>
      </c>
    </row>
    <row r="24" customFormat="false" ht="15" hidden="false" customHeight="true" outlineLevel="0" collapsed="false">
      <c r="A24" s="27" t="s">
        <v>399</v>
      </c>
      <c r="B24" s="27" t="s">
        <v>232</v>
      </c>
      <c r="C24" s="56" t="n">
        <v>7500</v>
      </c>
      <c r="D24" s="57" t="n">
        <v>0</v>
      </c>
      <c r="E24" s="29" t="s">
        <v>400</v>
      </c>
    </row>
    <row r="25" customFormat="false" ht="15" hidden="false" customHeight="true" outlineLevel="0" collapsed="false">
      <c r="A25" s="27" t="s">
        <v>401</v>
      </c>
      <c r="B25" s="27" t="s">
        <v>246</v>
      </c>
      <c r="C25" s="56" t="n">
        <v>3000</v>
      </c>
      <c r="D25" s="57" t="n">
        <v>0</v>
      </c>
      <c r="E25" s="29" t="s">
        <v>402</v>
      </c>
    </row>
    <row r="27" customFormat="false" ht="15" hidden="false" customHeight="true" outlineLevel="0" collapsed="false">
      <c r="A27" s="53" t="s">
        <v>403</v>
      </c>
      <c r="D27" s="30" t="n">
        <f aca="false">SUMPRODUCT(($B$19:$B$25="MG")*$C$19:$C$25*$D$19:$D$25)/SUMIFS($C$19:$C$25,$B$19:$B$25,"MG")</f>
        <v>107.331221232877</v>
      </c>
    </row>
    <row r="28" customFormat="false" ht="15" hidden="false" customHeight="true" outlineLevel="0" collapsed="false">
      <c r="A28" s="53" t="s">
        <v>404</v>
      </c>
      <c r="D28" s="30" t="n">
        <f aca="false">SUMPRODUCT(($B$19:$B$25="RJ")*$C$19:$C$25*$D$19:$D$25)/SUMIFS($C$19:$C$25,$B$19:$B$25,"RJ")</f>
        <v>17.2369689110994</v>
      </c>
    </row>
    <row r="29" customFormat="false" ht="15" hidden="false" customHeight="true" outlineLevel="0" collapsed="false">
      <c r="A29" s="53" t="s">
        <v>405</v>
      </c>
      <c r="D29" s="58" t="n">
        <f aca="false">Premissas!C23</f>
        <v>5.392</v>
      </c>
    </row>
    <row r="30" customFormat="false" ht="15" hidden="false" customHeight="true" outlineLevel="0" collapsed="false">
      <c r="A30" s="53" t="s">
        <v>406</v>
      </c>
      <c r="D30" s="30" t="n">
        <f aca="false">D27/D29</f>
        <v>19.9056419200439</v>
      </c>
    </row>
    <row r="31" customFormat="false" ht="15" hidden="false" customHeight="true" outlineLevel="0" collapsed="false">
      <c r="A31" s="53" t="s">
        <v>407</v>
      </c>
      <c r="D31" s="30" t="n">
        <f aca="false">D28/D29</f>
        <v>3.19676723128699</v>
      </c>
    </row>
    <row r="33" customFormat="false" ht="15" hidden="false" customHeight="true" outlineLevel="0" collapsed="false">
      <c r="A33" s="29" t="s">
        <v>408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0"/>
    <col collapsed="false" customWidth="true" hidden="false" outlineLevel="0" max="4" min="3" style="1" width="14"/>
  </cols>
  <sheetData>
    <row r="1" customFormat="false" ht="15" hidden="false" customHeight="true" outlineLevel="0" collapsed="false">
      <c r="A1" s="48" t="s">
        <v>409</v>
      </c>
    </row>
    <row r="2" customFormat="false" ht="241.5" hidden="false" customHeight="true" outlineLevel="0" collapsed="false">
      <c r="A2" s="49" t="s">
        <v>410</v>
      </c>
    </row>
    <row r="4" customFormat="false" ht="15" hidden="false" customHeight="true" outlineLevel="0" collapsed="false">
      <c r="A4" s="50" t="s">
        <v>135</v>
      </c>
      <c r="B4" s="50" t="s">
        <v>411</v>
      </c>
      <c r="C4" s="50" t="s">
        <v>412</v>
      </c>
      <c r="D4" s="50" t="s">
        <v>413</v>
      </c>
    </row>
    <row r="5" customFormat="false" ht="15" hidden="false" customHeight="true" outlineLevel="0" collapsed="false">
      <c r="A5" s="27" t="s">
        <v>230</v>
      </c>
      <c r="B5" s="57" t="n">
        <v>0</v>
      </c>
      <c r="C5" s="30" t="n">
        <f aca="false">CM_Comex!$D$9+B5</f>
        <v>198.1451450537</v>
      </c>
      <c r="D5" s="30" t="n">
        <f aca="false">C5/Premissas!$C$35</f>
        <v>6.39542632874815</v>
      </c>
    </row>
    <row r="6" customFormat="false" ht="15" hidden="false" customHeight="true" outlineLevel="0" collapsed="false">
      <c r="A6" s="27" t="s">
        <v>252</v>
      </c>
      <c r="B6" s="57" t="n">
        <v>0</v>
      </c>
      <c r="C6" s="30" t="n">
        <f aca="false">CM_Comex!$D$9+B6</f>
        <v>198.1451450537</v>
      </c>
      <c r="D6" s="30" t="n">
        <f aca="false">C6/Premissas!$C$35</f>
        <v>6.39542632874815</v>
      </c>
    </row>
    <row r="7" customFormat="false" ht="15" hidden="false" customHeight="true" outlineLevel="0" collapsed="false">
      <c r="A7" s="27" t="s">
        <v>282</v>
      </c>
      <c r="B7" s="57" t="n">
        <v>0</v>
      </c>
      <c r="C7" s="30" t="n">
        <f aca="false">CM_Comex!$D$9+B7</f>
        <v>198.1451450537</v>
      </c>
      <c r="D7" s="30" t="n">
        <f aca="false">C7/Premissas!$C$35</f>
        <v>6.39542632874815</v>
      </c>
    </row>
    <row r="8" customFormat="false" ht="15" hidden="false" customHeight="true" outlineLevel="0" collapsed="false">
      <c r="A8" s="27" t="s">
        <v>153</v>
      </c>
      <c r="B8" s="57" t="n">
        <v>0</v>
      </c>
      <c r="C8" s="30" t="n">
        <f aca="false">CM_Comex!$D$9+B8</f>
        <v>198.1451450537</v>
      </c>
      <c r="D8" s="30" t="n">
        <f aca="false">C8/Premissas!$C$35</f>
        <v>6.39542632874815</v>
      </c>
    </row>
    <row r="9" customFormat="false" ht="15" hidden="false" customHeight="true" outlineLevel="0" collapsed="false">
      <c r="A9" s="27" t="s">
        <v>206</v>
      </c>
      <c r="B9" s="57" t="n">
        <v>0</v>
      </c>
      <c r="C9" s="30" t="n">
        <f aca="false">CM_Comex!$D$9+B9</f>
        <v>198.1451450537</v>
      </c>
      <c r="D9" s="30" t="n">
        <f aca="false">C9/Premissas!$C$35</f>
        <v>6.39542632874815</v>
      </c>
    </row>
    <row r="10" customFormat="false" ht="15" hidden="false" customHeight="true" outlineLevel="0" collapsed="false">
      <c r="A10" s="27" t="s">
        <v>246</v>
      </c>
      <c r="B10" s="57" t="n">
        <v>0</v>
      </c>
      <c r="C10" s="30" t="n">
        <f aca="false">CM_Comex!$D$9+B10</f>
        <v>198.1451450537</v>
      </c>
      <c r="D10" s="30" t="n">
        <f aca="false">C10/Premissas!$C$35</f>
        <v>6.39542632874815</v>
      </c>
    </row>
    <row r="11" customFormat="false" ht="15" hidden="false" customHeight="true" outlineLevel="0" collapsed="false">
      <c r="A11" s="27" t="s">
        <v>271</v>
      </c>
      <c r="B11" s="57" t="n">
        <v>0</v>
      </c>
      <c r="C11" s="30" t="n">
        <f aca="false">CM_Comex!$D$9+B11</f>
        <v>198.1451450537</v>
      </c>
      <c r="D11" s="30" t="n">
        <f aca="false">C11/Premissas!$C$35</f>
        <v>6.39542632874815</v>
      </c>
    </row>
    <row r="12" customFormat="false" ht="15" hidden="false" customHeight="true" outlineLevel="0" collapsed="false">
      <c r="A12" s="27" t="s">
        <v>232</v>
      </c>
      <c r="B12" s="57" t="n">
        <v>0</v>
      </c>
      <c r="C12" s="30" t="n">
        <f aca="false">CM_Comex!$D$9+B12</f>
        <v>198.1451450537</v>
      </c>
      <c r="D12" s="30" t="n">
        <f aca="false">C12/Premissas!$C$35</f>
        <v>6.39542632874815</v>
      </c>
    </row>
    <row r="13" customFormat="false" ht="15" hidden="false" customHeight="true" outlineLevel="0" collapsed="false">
      <c r="A13" s="27" t="s">
        <v>202</v>
      </c>
      <c r="B13" s="57" t="n">
        <v>0</v>
      </c>
      <c r="C13" s="30" t="n">
        <f aca="false">CM_Comex!$D$9+B13</f>
        <v>198.1451450537</v>
      </c>
      <c r="D13" s="30" t="n">
        <f aca="false">C13/Premissas!$C$35</f>
        <v>6.39542632874815</v>
      </c>
    </row>
    <row r="14" customFormat="false" ht="15" hidden="false" customHeight="true" outlineLevel="0" collapsed="false">
      <c r="A14" s="27" t="s">
        <v>255</v>
      </c>
      <c r="B14" s="57" t="n">
        <v>0</v>
      </c>
      <c r="C14" s="30" t="n">
        <f aca="false">CM_Comex!$D$9+B14</f>
        <v>198.1451450537</v>
      </c>
      <c r="D14" s="30" t="n">
        <f aca="false">C14/Premissas!$C$35</f>
        <v>6.39542632874815</v>
      </c>
    </row>
    <row r="15" customFormat="false" ht="15" hidden="false" customHeight="true" outlineLevel="0" collapsed="false">
      <c r="A15" s="27" t="s">
        <v>167</v>
      </c>
      <c r="B15" s="59" t="n">
        <f aca="false">CM_Frete!D30</f>
        <v>19.9056419200439</v>
      </c>
      <c r="C15" s="30" t="n">
        <f aca="false">CM_Comex!$D$9+B15</f>
        <v>218.050786973744</v>
      </c>
      <c r="D15" s="30" t="n">
        <f aca="false">C15/Premissas!$C$35</f>
        <v>7.03791023311825</v>
      </c>
    </row>
    <row r="16" customFormat="false" ht="15" hidden="false" customHeight="true" outlineLevel="0" collapsed="false">
      <c r="A16" s="27" t="s">
        <v>242</v>
      </c>
      <c r="B16" s="57" t="n">
        <v>0</v>
      </c>
      <c r="C16" s="30" t="n">
        <f aca="false">CM_Comex!$D$9+B16</f>
        <v>198.1451450537</v>
      </c>
      <c r="D16" s="30" t="n">
        <f aca="false">C16/Premissas!$C$35</f>
        <v>6.39542632874815</v>
      </c>
    </row>
    <row r="17" customFormat="false" ht="15" hidden="false" customHeight="true" outlineLevel="0" collapsed="false">
      <c r="A17" s="27" t="s">
        <v>244</v>
      </c>
      <c r="B17" s="57" t="n">
        <v>0</v>
      </c>
      <c r="C17" s="30" t="n">
        <f aca="false">CM_Comex!$D$9+B17</f>
        <v>198.1451450537</v>
      </c>
      <c r="D17" s="30" t="n">
        <f aca="false">C17/Premissas!$C$35</f>
        <v>6.39542632874815</v>
      </c>
    </row>
    <row r="18" customFormat="false" ht="15" hidden="false" customHeight="true" outlineLevel="0" collapsed="false">
      <c r="A18" s="27" t="s">
        <v>257</v>
      </c>
      <c r="B18" s="57" t="n">
        <v>0</v>
      </c>
      <c r="C18" s="30" t="n">
        <f aca="false">CM_Comex!$D$9+B18</f>
        <v>198.1451450537</v>
      </c>
      <c r="D18" s="30" t="n">
        <f aca="false">C18/Premissas!$C$35</f>
        <v>6.39542632874815</v>
      </c>
    </row>
    <row r="19" customFormat="false" ht="15" hidden="false" customHeight="true" outlineLevel="0" collapsed="false">
      <c r="A19" s="27" t="s">
        <v>250</v>
      </c>
      <c r="B19" s="57" t="n">
        <v>0</v>
      </c>
      <c r="C19" s="30" t="n">
        <f aca="false">CM_Comex!$D$9+B19</f>
        <v>198.1451450537</v>
      </c>
      <c r="D19" s="30" t="n">
        <f aca="false">C19/Premissas!$C$35</f>
        <v>6.39542632874815</v>
      </c>
    </row>
    <row r="20" customFormat="false" ht="15" hidden="false" customHeight="true" outlineLevel="0" collapsed="false">
      <c r="A20" s="27" t="s">
        <v>273</v>
      </c>
      <c r="B20" s="57" t="n">
        <v>0</v>
      </c>
      <c r="C20" s="30" t="n">
        <f aca="false">CM_Comex!$D$9+B20</f>
        <v>198.1451450537</v>
      </c>
      <c r="D20" s="30" t="n">
        <f aca="false">C20/Premissas!$C$35</f>
        <v>6.39542632874815</v>
      </c>
    </row>
    <row r="21" customFormat="false" ht="15" hidden="false" customHeight="true" outlineLevel="0" collapsed="false">
      <c r="A21" s="27" t="s">
        <v>259</v>
      </c>
      <c r="B21" s="57" t="n">
        <v>0</v>
      </c>
      <c r="C21" s="30" t="n">
        <f aca="false">CM_Comex!$D$9+B21</f>
        <v>198.1451450537</v>
      </c>
      <c r="D21" s="30" t="n">
        <f aca="false">C21/Premissas!$C$35</f>
        <v>6.39542632874815</v>
      </c>
    </row>
    <row r="22" customFormat="false" ht="15" hidden="false" customHeight="true" outlineLevel="0" collapsed="false">
      <c r="A22" s="27" t="s">
        <v>150</v>
      </c>
      <c r="B22" s="57" t="n">
        <v>0</v>
      </c>
      <c r="C22" s="30" t="n">
        <f aca="false">CM_Comex!$D$9+B22</f>
        <v>198.1451450537</v>
      </c>
      <c r="D22" s="30" t="n">
        <f aca="false">C22/Premissas!$C$35</f>
        <v>6.39542632874815</v>
      </c>
    </row>
    <row r="23" customFormat="false" ht="15" hidden="false" customHeight="true" outlineLevel="0" collapsed="false">
      <c r="A23" s="27" t="s">
        <v>248</v>
      </c>
      <c r="B23" s="59" t="n">
        <f aca="false">CM_Frete!D31</f>
        <v>3.19676723128699</v>
      </c>
      <c r="C23" s="30" t="n">
        <f aca="false">CM_Comex!$D$9+B23</f>
        <v>201.341912284987</v>
      </c>
      <c r="D23" s="30" t="n">
        <f aca="false">C23/Premissas!$C$35</f>
        <v>6.49860669843277</v>
      </c>
    </row>
    <row r="24" customFormat="false" ht="15" hidden="false" customHeight="true" outlineLevel="0" collapsed="false">
      <c r="A24" s="27" t="s">
        <v>219</v>
      </c>
      <c r="B24" s="57" t="n">
        <v>0</v>
      </c>
      <c r="C24" s="30" t="n">
        <f aca="false">CM_Comex!$D$9+B24</f>
        <v>198.1451450537</v>
      </c>
      <c r="D24" s="30" t="n">
        <f aca="false">C24/Premissas!$C$35</f>
        <v>6.39542632874815</v>
      </c>
    </row>
    <row r="25" customFormat="false" ht="15" hidden="false" customHeight="true" outlineLevel="0" collapsed="false">
      <c r="A25" s="27" t="s">
        <v>261</v>
      </c>
      <c r="B25" s="57" t="n">
        <v>0</v>
      </c>
      <c r="C25" s="30" t="n">
        <f aca="false">CM_Comex!$D$9+B25</f>
        <v>198.1451450537</v>
      </c>
      <c r="D25" s="30" t="n">
        <f aca="false">C25/Premissas!$C$35</f>
        <v>6.39542632874815</v>
      </c>
    </row>
    <row r="26" customFormat="false" ht="15" hidden="false" customHeight="true" outlineLevel="0" collapsed="false">
      <c r="A26" s="27" t="s">
        <v>280</v>
      </c>
      <c r="B26" s="57" t="n">
        <v>0</v>
      </c>
      <c r="C26" s="30" t="n">
        <f aca="false">CM_Comex!$D$9+B26</f>
        <v>198.1451450537</v>
      </c>
      <c r="D26" s="30" t="n">
        <f aca="false">C26/Premissas!$C$35</f>
        <v>6.39542632874815</v>
      </c>
    </row>
    <row r="27" customFormat="false" ht="15" hidden="false" customHeight="true" outlineLevel="0" collapsed="false">
      <c r="A27" s="27" t="s">
        <v>160</v>
      </c>
      <c r="B27" s="57" t="n">
        <v>0</v>
      </c>
      <c r="C27" s="30" t="n">
        <f aca="false">CM_Comex!$D$9+B27</f>
        <v>198.1451450537</v>
      </c>
      <c r="D27" s="30" t="n">
        <f aca="false">C27/Premissas!$C$35</f>
        <v>6.39542632874815</v>
      </c>
    </row>
    <row r="28" customFormat="false" ht="15" hidden="false" customHeight="true" outlineLevel="0" collapsed="false">
      <c r="A28" s="27" t="s">
        <v>164</v>
      </c>
      <c r="B28" s="57" t="n">
        <v>0</v>
      </c>
      <c r="C28" s="30" t="n">
        <f aca="false">CM_Comex!$D$9+B28</f>
        <v>198.1451450537</v>
      </c>
      <c r="D28" s="30" t="n">
        <f aca="false">C28/Premissas!$C$35</f>
        <v>6.39542632874815</v>
      </c>
    </row>
    <row r="29" customFormat="false" ht="15" hidden="false" customHeight="true" outlineLevel="0" collapsed="false">
      <c r="A29" s="27" t="s">
        <v>263</v>
      </c>
      <c r="B29" s="57" t="n">
        <v>0</v>
      </c>
      <c r="C29" s="30" t="n">
        <f aca="false">CM_Comex!$D$9+B29</f>
        <v>198.1451450537</v>
      </c>
      <c r="D29" s="30" t="n">
        <f aca="false">C29/Premissas!$C$35</f>
        <v>6.39542632874815</v>
      </c>
    </row>
    <row r="30" customFormat="false" ht="15" hidden="false" customHeight="true" outlineLevel="0" collapsed="false">
      <c r="A30" s="27" t="s">
        <v>221</v>
      </c>
      <c r="B30" s="57" t="n">
        <v>0</v>
      </c>
      <c r="C30" s="30" t="n">
        <f aca="false">CM_Comex!$D$9+B30</f>
        <v>198.1451450537</v>
      </c>
      <c r="D30" s="30" t="n">
        <f aca="false">C30/Premissas!$C$35</f>
        <v>6.39542632874815</v>
      </c>
    </row>
    <row r="31" customFormat="false" ht="15" hidden="false" customHeight="true" outlineLevel="0" collapsed="false">
      <c r="A31" s="27" t="s">
        <v>266</v>
      </c>
      <c r="B31" s="57" t="n">
        <v>0</v>
      </c>
      <c r="C31" s="30" t="n">
        <f aca="false">CM_Comex!$D$9+B31</f>
        <v>198.1451450537</v>
      </c>
      <c r="D31" s="30" t="n">
        <f aca="false">C31/Premissas!$C$35</f>
        <v>6.39542632874815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3" min="2" style="1" width="18"/>
    <col collapsed="false" customWidth="true" hidden="false" outlineLevel="0" max="4" min="4" style="1" width="14"/>
  </cols>
  <sheetData>
    <row r="1" customFormat="false" ht="15" hidden="false" customHeight="true" outlineLevel="0" collapsed="false">
      <c r="A1" s="48" t="s">
        <v>414</v>
      </c>
    </row>
    <row r="2" customFormat="false" ht="596.25" hidden="false" customHeight="true" outlineLevel="0" collapsed="false">
      <c r="A2" s="49" t="s">
        <v>415</v>
      </c>
    </row>
    <row r="4" customFormat="false" ht="15" hidden="false" customHeight="true" outlineLevel="0" collapsed="false">
      <c r="A4" s="50" t="s">
        <v>135</v>
      </c>
      <c r="B4" s="50" t="s">
        <v>416</v>
      </c>
      <c r="C4" s="50" t="s">
        <v>305</v>
      </c>
      <c r="D4" s="50" t="s">
        <v>413</v>
      </c>
    </row>
    <row r="5" customFormat="false" ht="15" hidden="false" customHeight="true" outlineLevel="0" collapsed="false">
      <c r="A5" s="27" t="s">
        <v>230</v>
      </c>
      <c r="B5" s="60" t="n">
        <v>7.325</v>
      </c>
      <c r="C5" s="61" t="n">
        <f aca="false">B5/$B$33</f>
        <v>1.20867939057258</v>
      </c>
      <c r="D5" s="30" t="n">
        <f aca="false">C5*Premissas!$C$39</f>
        <v>26.5909465925967</v>
      </c>
    </row>
    <row r="6" customFormat="false" ht="15" hidden="false" customHeight="true" outlineLevel="0" collapsed="false">
      <c r="A6" s="27" t="s">
        <v>252</v>
      </c>
      <c r="B6" s="60" t="n">
        <v>6.035</v>
      </c>
      <c r="C6" s="61" t="n">
        <f aca="false">B6/$B$33</f>
        <v>0.995819811891535</v>
      </c>
      <c r="D6" s="30" t="n">
        <f aca="false">C6*Premissas!$C$39</f>
        <v>21.9080358616138</v>
      </c>
    </row>
    <row r="7" customFormat="false" ht="15" hidden="false" customHeight="true" outlineLevel="0" collapsed="false">
      <c r="A7" s="27" t="s">
        <v>282</v>
      </c>
      <c r="B7" s="60" t="n">
        <v>6.284</v>
      </c>
      <c r="C7" s="61" t="n">
        <f aca="false">B7/$B$33</f>
        <v>1.03690666079974</v>
      </c>
      <c r="D7" s="30" t="n">
        <f aca="false">C7*Premissas!$C$39</f>
        <v>22.8119465375942</v>
      </c>
    </row>
    <row r="8" customFormat="false" ht="15" hidden="false" customHeight="true" outlineLevel="0" collapsed="false">
      <c r="A8" s="27" t="s">
        <v>153</v>
      </c>
      <c r="B8" s="60" t="n">
        <v>6.467</v>
      </c>
      <c r="C8" s="61" t="n">
        <f aca="false">B8/$B$33</f>
        <v>1.06710301963588</v>
      </c>
      <c r="D8" s="30" t="n">
        <f aca="false">C8*Premissas!$C$39</f>
        <v>23.4762664319894</v>
      </c>
    </row>
    <row r="9" customFormat="false" ht="15" hidden="false" customHeight="true" outlineLevel="0" collapsed="false">
      <c r="A9" s="27" t="s">
        <v>206</v>
      </c>
      <c r="B9" s="60" t="n">
        <v>5.941</v>
      </c>
      <c r="C9" s="61" t="n">
        <f aca="false">B9/$B$33</f>
        <v>0.980309113910126</v>
      </c>
      <c r="D9" s="30" t="n">
        <f aca="false">C9*Premissas!$C$39</f>
        <v>21.5668005060228</v>
      </c>
    </row>
    <row r="10" customFormat="false" ht="15" hidden="false" customHeight="true" outlineLevel="0" collapsed="false">
      <c r="A10" s="27" t="s">
        <v>246</v>
      </c>
      <c r="B10" s="60" t="n">
        <v>6.171</v>
      </c>
      <c r="C10" s="61" t="n">
        <f aca="false">B10/$B$33</f>
        <v>1.01826082173698</v>
      </c>
      <c r="D10" s="30" t="n">
        <f aca="false">C10*Premissas!$C$39</f>
        <v>22.4017380782135</v>
      </c>
    </row>
    <row r="11" customFormat="false" ht="15" hidden="false" customHeight="true" outlineLevel="0" collapsed="false">
      <c r="A11" s="27" t="s">
        <v>271</v>
      </c>
      <c r="B11" s="60" t="n">
        <v>5.828</v>
      </c>
      <c r="C11" s="61" t="n">
        <f aca="false">B11/$B$33</f>
        <v>0.961663274847368</v>
      </c>
      <c r="D11" s="30" t="n">
        <f aca="false">C11*Premissas!$C$39</f>
        <v>21.1565920466421</v>
      </c>
    </row>
    <row r="12" customFormat="false" ht="15" hidden="false" customHeight="true" outlineLevel="0" collapsed="false">
      <c r="A12" s="27" t="s">
        <v>232</v>
      </c>
      <c r="B12" s="60" t="n">
        <v>5.883</v>
      </c>
      <c r="C12" s="61" t="n">
        <f aca="false">B12/$B$33</f>
        <v>0.970738683240746</v>
      </c>
      <c r="D12" s="30" t="n">
        <f aca="false">C12*Premissas!$C$39</f>
        <v>21.3562510312964</v>
      </c>
    </row>
    <row r="13" customFormat="false" ht="15" hidden="false" customHeight="true" outlineLevel="0" collapsed="false">
      <c r="A13" s="27" t="s">
        <v>202</v>
      </c>
      <c r="B13" s="60" t="n">
        <v>5.823</v>
      </c>
      <c r="C13" s="61" t="n">
        <f aca="false">B13/$B$33</f>
        <v>0.960838237720698</v>
      </c>
      <c r="D13" s="30" t="n">
        <f aca="false">C13*Premissas!$C$39</f>
        <v>21.1384412298553</v>
      </c>
    </row>
    <row r="14" customFormat="false" ht="15" hidden="false" customHeight="true" outlineLevel="0" collapsed="false">
      <c r="A14" s="27" t="s">
        <v>255</v>
      </c>
      <c r="B14" s="60" t="n">
        <v>5.812</v>
      </c>
      <c r="C14" s="61" t="n">
        <f aca="false">B14/$B$33</f>
        <v>0.959023156042022</v>
      </c>
      <c r="D14" s="30" t="n">
        <f aca="false">C14*Premissas!$C$39</f>
        <v>21.0985094329245</v>
      </c>
    </row>
    <row r="15" customFormat="false" ht="15" hidden="false" customHeight="true" outlineLevel="0" collapsed="false">
      <c r="A15" s="27" t="s">
        <v>167</v>
      </c>
      <c r="B15" s="60" t="n">
        <v>5.78</v>
      </c>
      <c r="C15" s="61" t="n">
        <f aca="false">B15/$B$33</f>
        <v>0.953742918431329</v>
      </c>
      <c r="D15" s="30" t="n">
        <f aca="false">C15*Premissas!$C$39</f>
        <v>20.9823442054892</v>
      </c>
    </row>
    <row r="16" customFormat="false" ht="15" hidden="false" customHeight="true" outlineLevel="0" collapsed="false">
      <c r="A16" s="27" t="s">
        <v>242</v>
      </c>
      <c r="B16" s="60" t="n">
        <v>5.934</v>
      </c>
      <c r="C16" s="61" t="n">
        <f aca="false">B16/$B$33</f>
        <v>0.979154061932787</v>
      </c>
      <c r="D16" s="30" t="n">
        <f aca="false">C16*Premissas!$C$39</f>
        <v>21.5413893625213</v>
      </c>
    </row>
    <row r="17" customFormat="false" ht="15" hidden="false" customHeight="true" outlineLevel="0" collapsed="false">
      <c r="A17" s="27" t="s">
        <v>244</v>
      </c>
      <c r="B17" s="60" t="n">
        <v>6.033</v>
      </c>
      <c r="C17" s="61" t="n">
        <f aca="false">B17/$B$33</f>
        <v>0.995489797040867</v>
      </c>
      <c r="D17" s="30" t="n">
        <f aca="false">C17*Premissas!$C$39</f>
        <v>21.9007755348991</v>
      </c>
    </row>
    <row r="18" customFormat="false" ht="15" hidden="false" customHeight="true" outlineLevel="0" collapsed="false">
      <c r="A18" s="27" t="s">
        <v>257</v>
      </c>
      <c r="B18" s="60" t="n">
        <v>6.339</v>
      </c>
      <c r="C18" s="61" t="n">
        <f aca="false">B18/$B$33</f>
        <v>1.04598206919311</v>
      </c>
      <c r="D18" s="30" t="n">
        <f aca="false">C18*Premissas!$C$39</f>
        <v>23.0116055222485</v>
      </c>
    </row>
    <row r="19" customFormat="false" ht="15" hidden="false" customHeight="true" outlineLevel="0" collapsed="false">
      <c r="A19" s="27" t="s">
        <v>250</v>
      </c>
      <c r="B19" s="60" t="n">
        <v>5.787</v>
      </c>
      <c r="C19" s="61" t="n">
        <f aca="false">B19/$B$33</f>
        <v>0.954897970408668</v>
      </c>
      <c r="D19" s="30" t="n">
        <f aca="false">C19*Premissas!$C$39</f>
        <v>21.0077553489907</v>
      </c>
    </row>
    <row r="20" customFormat="false" ht="15" hidden="false" customHeight="true" outlineLevel="0" collapsed="false">
      <c r="A20" s="27" t="s">
        <v>273</v>
      </c>
      <c r="B20" s="60" t="n">
        <v>6.038</v>
      </c>
      <c r="C20" s="61" t="n">
        <f aca="false">B20/$B$33</f>
        <v>0.996314834167538</v>
      </c>
      <c r="D20" s="30" t="n">
        <f aca="false">C20*Premissas!$C$39</f>
        <v>21.9189263516858</v>
      </c>
    </row>
    <row r="21" customFormat="false" ht="15" hidden="false" customHeight="true" outlineLevel="0" collapsed="false">
      <c r="A21" s="27" t="s">
        <v>259</v>
      </c>
      <c r="B21" s="60" t="n">
        <v>5.899</v>
      </c>
      <c r="C21" s="61" t="n">
        <f aca="false">B21/$B$33</f>
        <v>0.973378802046092</v>
      </c>
      <c r="D21" s="30" t="n">
        <f aca="false">C21*Premissas!$C$39</f>
        <v>21.414333645014</v>
      </c>
    </row>
    <row r="22" customFormat="false" ht="15" hidden="false" customHeight="true" outlineLevel="0" collapsed="false">
      <c r="A22" s="27" t="s">
        <v>150</v>
      </c>
      <c r="B22" s="60" t="n">
        <v>5.825</v>
      </c>
      <c r="C22" s="61" t="n">
        <f aca="false">B22/$B$33</f>
        <v>0.961168252571366</v>
      </c>
      <c r="D22" s="30" t="n">
        <f aca="false">C22*Premissas!$C$39</f>
        <v>21.14570155657</v>
      </c>
    </row>
    <row r="23" customFormat="false" ht="15" hidden="false" customHeight="true" outlineLevel="0" collapsed="false">
      <c r="A23" s="27" t="s">
        <v>248</v>
      </c>
      <c r="B23" s="60" t="n">
        <v>5.948</v>
      </c>
      <c r="C23" s="61" t="n">
        <f aca="false">B23/$B$33</f>
        <v>0.981464165887465</v>
      </c>
      <c r="D23" s="30" t="n">
        <f aca="false">C23*Premissas!$C$39</f>
        <v>21.5922116495242</v>
      </c>
    </row>
    <row r="24" customFormat="false" ht="15" hidden="false" customHeight="true" outlineLevel="0" collapsed="false">
      <c r="A24" s="27" t="s">
        <v>219</v>
      </c>
      <c r="B24" s="60" t="n">
        <v>6.033</v>
      </c>
      <c r="C24" s="61" t="n">
        <f aca="false">B24/$B$33</f>
        <v>0.995489797040867</v>
      </c>
      <c r="D24" s="30" t="n">
        <f aca="false">C24*Premissas!$C$39</f>
        <v>21.9007755348991</v>
      </c>
    </row>
    <row r="25" customFormat="false" ht="15" hidden="false" customHeight="true" outlineLevel="0" collapsed="false">
      <c r="A25" s="27" t="s">
        <v>261</v>
      </c>
      <c r="B25" s="60" t="n">
        <v>6.522</v>
      </c>
      <c r="C25" s="61" t="n">
        <f aca="false">B25/$B$33</f>
        <v>1.07617842802926</v>
      </c>
      <c r="D25" s="30" t="n">
        <f aca="false">C25*Premissas!$C$39</f>
        <v>23.6759254166438</v>
      </c>
    </row>
    <row r="26" customFormat="false" ht="15" hidden="false" customHeight="true" outlineLevel="0" collapsed="false">
      <c r="A26" s="27" t="s">
        <v>280</v>
      </c>
      <c r="B26" s="60" t="n">
        <v>6.561</v>
      </c>
      <c r="C26" s="61" t="n">
        <f aca="false">B26/$B$33</f>
        <v>1.08261371761729</v>
      </c>
      <c r="D26" s="30" t="n">
        <f aca="false">C26*Premissas!$C$39</f>
        <v>23.8175017875804</v>
      </c>
    </row>
    <row r="27" customFormat="false" ht="15" hidden="false" customHeight="true" outlineLevel="0" collapsed="false">
      <c r="A27" s="27" t="s">
        <v>160</v>
      </c>
      <c r="B27" s="60" t="n">
        <v>5.971</v>
      </c>
      <c r="C27" s="61" t="n">
        <f aca="false">B27/$B$33</f>
        <v>0.98525933667015</v>
      </c>
      <c r="D27" s="30" t="n">
        <f aca="false">C27*Premissas!$C$39</f>
        <v>21.6757054067433</v>
      </c>
    </row>
    <row r="28" customFormat="false" ht="15" hidden="false" customHeight="true" outlineLevel="0" collapsed="false">
      <c r="A28" s="27" t="s">
        <v>164</v>
      </c>
      <c r="B28" s="60" t="n">
        <v>5.939</v>
      </c>
      <c r="C28" s="61" t="n">
        <f aca="false">B28/$B$33</f>
        <v>0.979979099059458</v>
      </c>
      <c r="D28" s="30" t="n">
        <f aca="false">C28*Premissas!$C$39</f>
        <v>21.5595401793081</v>
      </c>
    </row>
    <row r="29" customFormat="false" ht="15" hidden="false" customHeight="true" outlineLevel="0" collapsed="false">
      <c r="A29" s="27" t="s">
        <v>263</v>
      </c>
      <c r="B29" s="60" t="n">
        <v>5.67</v>
      </c>
      <c r="C29" s="61" t="n">
        <f aca="false">B29/$B$33</f>
        <v>0.935592101644574</v>
      </c>
      <c r="D29" s="30" t="n">
        <f aca="false">C29*Premissas!$C$39</f>
        <v>20.5830262361806</v>
      </c>
    </row>
    <row r="30" customFormat="false" ht="15" hidden="false" customHeight="true" outlineLevel="0" collapsed="false">
      <c r="A30" s="27" t="s">
        <v>221</v>
      </c>
      <c r="B30" s="60" t="n">
        <v>5.919</v>
      </c>
      <c r="C30" s="61" t="n">
        <f aca="false">B30/$B$33</f>
        <v>0.976678950552775</v>
      </c>
      <c r="D30" s="30" t="n">
        <f aca="false">C30*Premissas!$C$39</f>
        <v>21.486936912161</v>
      </c>
    </row>
    <row r="31" customFormat="false" ht="15" hidden="false" customHeight="true" outlineLevel="0" collapsed="false">
      <c r="A31" s="27" t="s">
        <v>266</v>
      </c>
      <c r="B31" s="60" t="n">
        <v>5.862</v>
      </c>
      <c r="C31" s="61" t="n">
        <f aca="false">B31/$B$33</f>
        <v>0.967273527308729</v>
      </c>
      <c r="D31" s="30" t="n">
        <f aca="false">C31*Premissas!$C$39</f>
        <v>21.280017600792</v>
      </c>
    </row>
    <row r="33" customFormat="false" ht="15" hidden="false" customHeight="true" outlineLevel="0" collapsed="false">
      <c r="A33" s="53" t="s">
        <v>417</v>
      </c>
      <c r="B33" s="61" t="n">
        <f aca="false">AVERAGE(B5:B31)</f>
        <v>6.06033333333333</v>
      </c>
    </row>
    <row r="34" customFormat="false" ht="15" hidden="false" customHeight="true" outlineLevel="0" collapsed="false">
      <c r="A34" s="29" t="s">
        <v>418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20"/>
    <col collapsed="false" customWidth="true" hidden="false" outlineLevel="0" max="4" min="4" style="1" width="16"/>
  </cols>
  <sheetData>
    <row r="1" customFormat="false" ht="15" hidden="false" customHeight="true" outlineLevel="0" collapsed="false">
      <c r="A1" s="48" t="s">
        <v>419</v>
      </c>
    </row>
    <row r="2" customFormat="false" ht="658.5" hidden="false" customHeight="true" outlineLevel="0" collapsed="false">
      <c r="A2" s="49" t="s">
        <v>420</v>
      </c>
    </row>
    <row r="4" customFormat="false" ht="15" hidden="false" customHeight="true" outlineLevel="0" collapsed="false">
      <c r="A4" s="50" t="s">
        <v>135</v>
      </c>
      <c r="B4" s="50" t="s">
        <v>421</v>
      </c>
      <c r="C4" s="50" t="s">
        <v>422</v>
      </c>
      <c r="D4" s="50" t="s">
        <v>423</v>
      </c>
    </row>
    <row r="5" customFormat="false" ht="15" hidden="false" customHeight="true" outlineLevel="0" collapsed="false">
      <c r="A5" s="27" t="s">
        <v>230</v>
      </c>
      <c r="B5" s="59" t="n">
        <f aca="false">EE_por_UF!J5</f>
        <v>24.4329757865793</v>
      </c>
      <c r="C5" s="61" t="n">
        <f aca="false">B5/$B$33</f>
        <v>0.856381419756648</v>
      </c>
      <c r="D5" s="30" t="n">
        <f aca="false">Premissas!$C$42*(Premissas!$C$43*C5+(1-Premissas!$C$43))</f>
        <v>37.2983362845511</v>
      </c>
    </row>
    <row r="6" customFormat="false" ht="15" hidden="false" customHeight="true" outlineLevel="0" collapsed="false">
      <c r="A6" s="27" t="s">
        <v>252</v>
      </c>
      <c r="B6" s="59" t="n">
        <f aca="false">EE_por_UF!J6</f>
        <v>30.9291572477012</v>
      </c>
      <c r="C6" s="61" t="n">
        <f aca="false">B6/$B$33</f>
        <v>1.08407407378564</v>
      </c>
      <c r="D6" s="30" t="n">
        <f aca="false">Premissas!$C$42*(Premissas!$C$43*C6+(1-Premissas!$C$43))</f>
        <v>44.1181866580276</v>
      </c>
    </row>
    <row r="7" customFormat="false" ht="15" hidden="false" customHeight="true" outlineLevel="0" collapsed="false">
      <c r="A7" s="27" t="s">
        <v>282</v>
      </c>
      <c r="B7" s="59" t="n">
        <f aca="false">EE_por_UF!J7</f>
        <v>36.8202204636699</v>
      </c>
      <c r="C7" s="61" t="n">
        <f aca="false">B7/$B$33</f>
        <v>1.29055719417324</v>
      </c>
      <c r="D7" s="30" t="n">
        <f aca="false">Premissas!$C$42*(Premissas!$C$43*C7+(1-Premissas!$C$43))</f>
        <v>50.3027690798768</v>
      </c>
    </row>
    <row r="8" customFormat="false" ht="15" hidden="false" customHeight="true" outlineLevel="0" collapsed="false">
      <c r="A8" s="27" t="s">
        <v>153</v>
      </c>
      <c r="B8" s="59" t="n">
        <f aca="false">EE_por_UF!J8</f>
        <v>29.3594783486793</v>
      </c>
      <c r="C8" s="61" t="n">
        <f aca="false">B8/$B$33</f>
        <v>1.02905646742249</v>
      </c>
      <c r="D8" s="30" t="n">
        <f aca="false">Premissas!$C$42*(Premissas!$C$43*C8+(1-Premissas!$C$43))</f>
        <v>42.4702993122385</v>
      </c>
    </row>
    <row r="9" customFormat="false" ht="15" hidden="false" customHeight="true" outlineLevel="0" collapsed="false">
      <c r="A9" s="27" t="s">
        <v>206</v>
      </c>
      <c r="B9" s="59" t="n">
        <f aca="false">EE_por_UF!J9</f>
        <v>28.2215702616974</v>
      </c>
      <c r="C9" s="61" t="n">
        <f aca="false">B9/$B$33</f>
        <v>0.98917252730835</v>
      </c>
      <c r="D9" s="30" t="n">
        <f aca="false">Premissas!$C$42*(Premissas!$C$43*C9+(1-Premissas!$C$43))</f>
        <v>41.2756955379397</v>
      </c>
    </row>
    <row r="10" customFormat="false" ht="15" hidden="false" customHeight="true" outlineLevel="0" collapsed="false">
      <c r="A10" s="27" t="s">
        <v>246</v>
      </c>
      <c r="B10" s="59" t="n">
        <f aca="false">EE_por_UF!J10</f>
        <v>25.1203807525197</v>
      </c>
      <c r="C10" s="61" t="n">
        <f aca="false">B10/$B$33</f>
        <v>0.880475121883719</v>
      </c>
      <c r="D10" s="30" t="n">
        <f aca="false">Premissas!$C$42*(Premissas!$C$43*C10+(1-Premissas!$C$43))</f>
        <v>38.0199908506612</v>
      </c>
    </row>
    <row r="11" customFormat="false" ht="15" hidden="false" customHeight="true" outlineLevel="0" collapsed="false">
      <c r="A11" s="27" t="s">
        <v>271</v>
      </c>
      <c r="B11" s="59" t="n">
        <f aca="false">EE_por_UF!J11</f>
        <v>34.2165201444296</v>
      </c>
      <c r="C11" s="61" t="n">
        <f aca="false">B11/$B$33</f>
        <v>1.19929689925506</v>
      </c>
      <c r="D11" s="30" t="n">
        <f aca="false">Premissas!$C$42*(Premissas!$C$43*C11+(1-Premissas!$C$43))</f>
        <v>47.5693407264876</v>
      </c>
    </row>
    <row r="12" customFormat="false" ht="15" hidden="false" customHeight="true" outlineLevel="0" collapsed="false">
      <c r="A12" s="27" t="s">
        <v>232</v>
      </c>
      <c r="B12" s="59" t="n">
        <f aca="false">EE_por_UF!J12</f>
        <v>29.5088368172287</v>
      </c>
      <c r="C12" s="61" t="n">
        <f aca="false">B12/$B$33</f>
        <v>1.03429151609058</v>
      </c>
      <c r="D12" s="30" t="n">
        <f aca="false">Premissas!$C$42*(Premissas!$C$43*C12+(1-Premissas!$C$43))</f>
        <v>42.6270994899451</v>
      </c>
    </row>
    <row r="13" customFormat="false" ht="15" hidden="false" customHeight="true" outlineLevel="0" collapsed="false">
      <c r="A13" s="27" t="s">
        <v>202</v>
      </c>
      <c r="B13" s="59" t="n">
        <f aca="false">EE_por_UF!J13</f>
        <v>26.4583411419414</v>
      </c>
      <c r="C13" s="61" t="n">
        <f aca="false">B13/$B$33</f>
        <v>0.927370941201008</v>
      </c>
      <c r="D13" s="30" t="n">
        <f aca="false">Premissas!$C$42*(Premissas!$C$43*C13+(1-Premissas!$C$43))</f>
        <v>39.4246144308526</v>
      </c>
    </row>
    <row r="14" customFormat="false" ht="15" hidden="false" customHeight="true" outlineLevel="0" collapsed="false">
      <c r="A14" s="27" t="s">
        <v>255</v>
      </c>
      <c r="B14" s="59" t="n">
        <f aca="false">EE_por_UF!J14</f>
        <v>24.0210024640366</v>
      </c>
      <c r="C14" s="61" t="n">
        <f aca="false">B14/$B$33</f>
        <v>0.841941660067009</v>
      </c>
      <c r="D14" s="30" t="n">
        <f aca="false">Premissas!$C$42*(Premissas!$C$43*C14+(1-Premissas!$C$43))</f>
        <v>36.8658366023271</v>
      </c>
    </row>
    <row r="15" customFormat="false" ht="15" hidden="false" customHeight="true" outlineLevel="0" collapsed="false">
      <c r="A15" s="27" t="s">
        <v>167</v>
      </c>
      <c r="B15" s="59" t="n">
        <f aca="false">EE_por_UF!J15</f>
        <v>30.4065731792247</v>
      </c>
      <c r="C15" s="61" t="n">
        <f aca="false">B15/$B$33</f>
        <v>1.06575738201575</v>
      </c>
      <c r="D15" s="30" t="n">
        <f aca="false">Premissas!$C$42*(Premissas!$C$43*C15+(1-Premissas!$C$43))</f>
        <v>43.5695651061356</v>
      </c>
    </row>
    <row r="16" customFormat="false" ht="15" hidden="false" customHeight="true" outlineLevel="0" collapsed="false">
      <c r="A16" s="27" t="s">
        <v>242</v>
      </c>
      <c r="B16" s="59" t="n">
        <f aca="false">EE_por_UF!J16</f>
        <v>31.7313501779242</v>
      </c>
      <c r="C16" s="61" t="n">
        <f aca="false">B16/$B$33</f>
        <v>1.11219112045666</v>
      </c>
      <c r="D16" s="30" t="n">
        <f aca="false">Premissas!$C$42*(Premissas!$C$43*C16+(1-Premissas!$C$43))</f>
        <v>44.9603484399178</v>
      </c>
    </row>
    <row r="17" customFormat="false" ht="15" hidden="false" customHeight="true" outlineLevel="0" collapsed="false">
      <c r="A17" s="27" t="s">
        <v>244</v>
      </c>
      <c r="B17" s="59" t="n">
        <f aca="false">EE_por_UF!J17</f>
        <v>33.0604591821954</v>
      </c>
      <c r="C17" s="61" t="n">
        <f aca="false">B17/$B$33</f>
        <v>1.15877669668902</v>
      </c>
      <c r="D17" s="30" t="n">
        <f aca="false">Premissas!$C$42*(Premissas!$C$43*C17+(1-Premissas!$C$43))</f>
        <v>46.3556796192296</v>
      </c>
    </row>
    <row r="18" customFormat="false" ht="15" hidden="false" customHeight="true" outlineLevel="0" collapsed="false">
      <c r="A18" s="27" t="s">
        <v>257</v>
      </c>
      <c r="B18" s="59" t="n">
        <f aca="false">EE_por_UF!J18</f>
        <v>31.4367972207931</v>
      </c>
      <c r="C18" s="61" t="n">
        <f aca="false">B18/$B$33</f>
        <v>1.10186697157587</v>
      </c>
      <c r="D18" s="30" t="n">
        <f aca="false">Premissas!$C$42*(Premissas!$C$43*C18+(1-Premissas!$C$43))</f>
        <v>44.6511195326404</v>
      </c>
    </row>
    <row r="19" customFormat="false" ht="15" hidden="false" customHeight="true" outlineLevel="0" collapsed="false">
      <c r="A19" s="27" t="s">
        <v>250</v>
      </c>
      <c r="B19" s="59" t="n">
        <f aca="false">EE_por_UF!J19</f>
        <v>21.6888824376833</v>
      </c>
      <c r="C19" s="61" t="n">
        <f aca="false">B19/$B$33</f>
        <v>0.760200316865237</v>
      </c>
      <c r="D19" s="30" t="n">
        <f aca="false">Premissas!$C$42*(Premissas!$C$43*C19+(1-Premissas!$C$43))</f>
        <v>34.4175198907476</v>
      </c>
    </row>
    <row r="20" customFormat="false" ht="15" hidden="false" customHeight="true" outlineLevel="0" collapsed="false">
      <c r="A20" s="27" t="s">
        <v>273</v>
      </c>
      <c r="B20" s="59" t="n">
        <f aca="false">EE_por_UF!J20</f>
        <v>29.3812534486186</v>
      </c>
      <c r="C20" s="61" t="n">
        <f aca="false">B20/$B$33</f>
        <v>1.02981968968261</v>
      </c>
      <c r="D20" s="30" t="n">
        <f aca="false">Premissas!$C$42*(Premissas!$C$43*C20+(1-Premissas!$C$43))</f>
        <v>42.4931593453736</v>
      </c>
    </row>
    <row r="21" customFormat="false" ht="15" hidden="false" customHeight="true" outlineLevel="0" collapsed="false">
      <c r="A21" s="27" t="s">
        <v>259</v>
      </c>
      <c r="B21" s="59" t="n">
        <f aca="false">EE_por_UF!J21</f>
        <v>25.5636363691761</v>
      </c>
      <c r="C21" s="61" t="n">
        <f aca="false">B21/$B$33</f>
        <v>0.896011333175504</v>
      </c>
      <c r="D21" s="30" t="n">
        <f aca="false">Premissas!$C$42*(Premissas!$C$43*C21+(1-Premissas!$C$43))</f>
        <v>38.4853314512727</v>
      </c>
    </row>
    <row r="22" customFormat="false" ht="15" hidden="false" customHeight="true" outlineLevel="0" collapsed="false">
      <c r="A22" s="27" t="s">
        <v>150</v>
      </c>
      <c r="B22" s="59" t="n">
        <f aca="false">EE_por_UF!J22</f>
        <v>27.1067590760727</v>
      </c>
      <c r="C22" s="61" t="n">
        <f aca="false">B22/$B$33</f>
        <v>0.950098138897984</v>
      </c>
      <c r="D22" s="30" t="n">
        <f aca="false">Premissas!$C$42*(Premissas!$C$43*C22+(1-Premissas!$C$43))</f>
        <v>40.1053394562724</v>
      </c>
    </row>
    <row r="23" customFormat="false" ht="15" hidden="false" customHeight="true" outlineLevel="0" collapsed="false">
      <c r="A23" s="27" t="s">
        <v>248</v>
      </c>
      <c r="B23" s="59" t="n">
        <f aca="false">EE_por_UF!J23</f>
        <v>34.2663499193806</v>
      </c>
      <c r="C23" s="61" t="n">
        <f aca="false">B23/$B$33</f>
        <v>1.2010434443256</v>
      </c>
      <c r="D23" s="30" t="n">
        <f aca="false">Premissas!$C$42*(Premissas!$C$43*C23+(1-Premissas!$C$43))</f>
        <v>47.6216532444405</v>
      </c>
    </row>
    <row r="24" customFormat="false" ht="15" hidden="false" customHeight="true" outlineLevel="0" collapsed="false">
      <c r="A24" s="27" t="s">
        <v>219</v>
      </c>
      <c r="B24" s="59" t="n">
        <f aca="false">EE_por_UF!J24</f>
        <v>29.2073174167229</v>
      </c>
      <c r="C24" s="61" t="n">
        <f aca="false">B24/$B$33</f>
        <v>1.02372319176755</v>
      </c>
      <c r="D24" s="30" t="n">
        <f aca="false">Premissas!$C$42*(Premissas!$C$43*C24+(1-Premissas!$C$43))</f>
        <v>42.3105570398216</v>
      </c>
    </row>
    <row r="25" customFormat="false" ht="15" hidden="false" customHeight="true" outlineLevel="0" collapsed="false">
      <c r="A25" s="27" t="s">
        <v>261</v>
      </c>
      <c r="B25" s="59" t="n">
        <f aca="false">EE_por_UF!J25</f>
        <v>24.9661373214108</v>
      </c>
      <c r="C25" s="61" t="n">
        <f aca="false">B25/$B$33</f>
        <v>0.875068854154608</v>
      </c>
      <c r="D25" s="30" t="n">
        <f aca="false">Premissas!$C$42*(Premissas!$C$43*C25+(1-Premissas!$C$43))</f>
        <v>37.8580623196388</v>
      </c>
    </row>
    <row r="26" customFormat="false" ht="15" hidden="false" customHeight="true" outlineLevel="0" collapsed="false">
      <c r="A26" s="27" t="s">
        <v>280</v>
      </c>
      <c r="B26" s="59" t="n">
        <f aca="false">EE_por_UF!J26</f>
        <v>28.5241894661566</v>
      </c>
      <c r="C26" s="61" t="n">
        <f aca="false">B26/$B$33</f>
        <v>0.999779400012852</v>
      </c>
      <c r="D26" s="30" t="n">
        <f aca="false">Premissas!$C$42*(Premissas!$C$43*C26+(1-Premissas!$C$43))</f>
        <v>41.593392589185</v>
      </c>
    </row>
    <row r="27" customFormat="false" ht="15" hidden="false" customHeight="true" outlineLevel="0" collapsed="false">
      <c r="A27" s="27" t="s">
        <v>160</v>
      </c>
      <c r="B27" s="59" t="n">
        <f aca="false">EE_por_UF!J27</f>
        <v>27.7040076129375</v>
      </c>
      <c r="C27" s="61" t="n">
        <f aca="false">B27/$B$33</f>
        <v>0.971031837454212</v>
      </c>
      <c r="D27" s="30" t="n">
        <f aca="false">Premissas!$C$42*(Premissas!$C$43*C27+(1-Premissas!$C$43))</f>
        <v>40.7323455954286</v>
      </c>
    </row>
    <row r="28" customFormat="false" ht="15" hidden="false" customHeight="true" outlineLevel="0" collapsed="false">
      <c r="A28" s="27" t="s">
        <v>164</v>
      </c>
      <c r="B28" s="59" t="n">
        <f aca="false">EE_por_UF!J28</f>
        <v>28.1191163950842</v>
      </c>
      <c r="C28" s="61" t="n">
        <f aca="false">B28/$B$33</f>
        <v>0.98558149572398</v>
      </c>
      <c r="D28" s="30" t="n">
        <f aca="false">Premissas!$C$42*(Premissas!$C$43*C28+(1-Premissas!$C$43))</f>
        <v>41.1681369599247</v>
      </c>
    </row>
    <row r="29" customFormat="false" ht="15" hidden="false" customHeight="true" outlineLevel="0" collapsed="false">
      <c r="A29" s="27" t="s">
        <v>263</v>
      </c>
      <c r="B29" s="59" t="n">
        <f aca="false">EE_por_UF!J29</f>
        <v>24.1989894404938</v>
      </c>
      <c r="C29" s="61" t="n">
        <f aca="false">B29/$B$33</f>
        <v>0.848180144520481</v>
      </c>
      <c r="D29" s="30" t="n">
        <f aca="false">Premissas!$C$42*(Premissas!$C$43*C29+(1-Premissas!$C$43))</f>
        <v>37.0526916886775</v>
      </c>
    </row>
    <row r="30" customFormat="false" ht="15" hidden="false" customHeight="true" outlineLevel="0" collapsed="false">
      <c r="A30" s="27" t="s">
        <v>221</v>
      </c>
      <c r="B30" s="59" t="n">
        <f aca="false">EE_por_UF!J30</f>
        <v>27.3986784100702</v>
      </c>
      <c r="C30" s="61" t="n">
        <f aca="false">B30/$B$33</f>
        <v>0.960329978682337</v>
      </c>
      <c r="D30" s="30" t="n">
        <f aca="false">Premissas!$C$42*(Premissas!$C$43*C30+(1-Premissas!$C$43))</f>
        <v>40.4118035214934</v>
      </c>
    </row>
    <row r="31" customFormat="false" ht="15" hidden="false" customHeight="true" outlineLevel="0" collapsed="false">
      <c r="A31" s="27" t="s">
        <v>266</v>
      </c>
      <c r="B31" s="59" t="n">
        <f aca="false">EE_por_UF!J31</f>
        <v>26.4740683384743</v>
      </c>
      <c r="C31" s="61" t="n">
        <f aca="false">B31/$B$33</f>
        <v>0.927922183056002</v>
      </c>
      <c r="D31" s="30" t="n">
        <f aca="false">Premissas!$C$42*(Premissas!$C$43*C31+(1-Premissas!$C$43))</f>
        <v>39.4411252268934</v>
      </c>
    </row>
    <row r="33" customFormat="false" ht="15" hidden="false" customHeight="true" outlineLevel="0" collapsed="false">
      <c r="A33" s="53" t="s">
        <v>424</v>
      </c>
      <c r="B33" s="30" t="n">
        <f aca="false">AVERAGE(B5:B31)</f>
        <v>28.5304832904038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4"/>
    <col collapsed="false" customWidth="true" hidden="false" outlineLevel="0" max="3" min="3" style="1" width="20"/>
    <col collapsed="false" customWidth="true" hidden="false" outlineLevel="0" max="5" min="4" style="1" width="10"/>
    <col collapsed="false" customWidth="true" hidden="false" outlineLevel="0" max="6" min="6" style="1" width="30"/>
  </cols>
  <sheetData>
    <row r="1" customFormat="false" ht="15" hidden="false" customHeight="true" outlineLevel="0" collapsed="false">
      <c r="A1" s="48" t="s">
        <v>425</v>
      </c>
    </row>
    <row r="2" customFormat="false" ht="397.5" hidden="false" customHeight="true" outlineLevel="0" collapsed="false">
      <c r="A2" s="49" t="s">
        <v>426</v>
      </c>
    </row>
    <row r="4" customFormat="false" ht="15" hidden="false" customHeight="true" outlineLevel="0" collapsed="false">
      <c r="A4" s="50" t="s">
        <v>135</v>
      </c>
      <c r="B4" s="50" t="s">
        <v>427</v>
      </c>
      <c r="C4" s="50" t="s">
        <v>428</v>
      </c>
      <c r="D4" s="50" t="s">
        <v>378</v>
      </c>
      <c r="E4" s="50" t="s">
        <v>429</v>
      </c>
      <c r="F4" s="50" t="s">
        <v>430</v>
      </c>
    </row>
    <row r="5" customFormat="false" ht="15" hidden="false" customHeight="true" outlineLevel="0" collapsed="false">
      <c r="A5" s="27" t="s">
        <v>167</v>
      </c>
      <c r="B5" s="52" t="n">
        <v>210840195</v>
      </c>
      <c r="C5" s="52" t="n">
        <v>117843195767</v>
      </c>
      <c r="D5" s="30" t="n">
        <f aca="false">IF(OR(B5="",C5=""),"",C5/B5)</f>
        <v>558.921868607644</v>
      </c>
      <c r="E5" s="30" t="n">
        <f aca="false">IF(D5="","",D5/Premissas!$C$23)</f>
        <v>103.657616581536</v>
      </c>
      <c r="F5" s="62" t="s">
        <v>431</v>
      </c>
    </row>
    <row r="6" customFormat="false" ht="15" hidden="false" customHeight="true" outlineLevel="0" collapsed="false">
      <c r="A6" s="27" t="s">
        <v>257</v>
      </c>
      <c r="B6" s="52" t="n">
        <v>184564542</v>
      </c>
      <c r="C6" s="52" t="n">
        <v>119604793640</v>
      </c>
      <c r="D6" s="30" t="n">
        <f aca="false">IF(OR(B6="",C6=""),"",C6/B6)</f>
        <v>648.037766864233</v>
      </c>
      <c r="E6" s="30" t="n">
        <f aca="false">IF(D6="","",D6/Premissas!$C$23)</f>
        <v>120.185045783426</v>
      </c>
      <c r="F6" s="62" t="s">
        <v>431</v>
      </c>
    </row>
    <row r="7" customFormat="false" ht="15" hidden="false" customHeight="true" outlineLevel="0" collapsed="false">
      <c r="A7" s="27" t="s">
        <v>232</v>
      </c>
      <c r="B7" s="52" t="n">
        <v>7439253</v>
      </c>
      <c r="C7" s="52" t="n">
        <v>9030436028</v>
      </c>
      <c r="D7" s="30" t="n">
        <f aca="false">IF(OR(B7="",C7=""),"",C7/B7)</f>
        <v>1213.89016182136</v>
      </c>
      <c r="E7" s="30" t="n">
        <f aca="false">IF(D7="","",D7/Premissas!$C$23)</f>
        <v>225.127997370429</v>
      </c>
      <c r="F7" s="62" t="s">
        <v>432</v>
      </c>
    </row>
    <row r="8" customFormat="false" ht="15" hidden="false" customHeight="true" outlineLevel="0" collapsed="false">
      <c r="A8" s="27" t="s">
        <v>206</v>
      </c>
      <c r="B8" s="52" t="n">
        <v>1176277</v>
      </c>
      <c r="C8" s="52" t="n">
        <v>727435929</v>
      </c>
      <c r="D8" s="30" t="n">
        <f aca="false">IF(OR(B8="",C8=""),"",C8/B8)</f>
        <v>618.422301039636</v>
      </c>
      <c r="E8" s="30" t="n">
        <f aca="false">IF(D8="","",D8/Premissas!$C$23)</f>
        <v>114.692563249191</v>
      </c>
      <c r="F8" s="62" t="s">
        <v>433</v>
      </c>
    </row>
    <row r="9" customFormat="false" ht="15" hidden="false" customHeight="true" outlineLevel="0" collapsed="false">
      <c r="A9" s="27" t="s">
        <v>242</v>
      </c>
      <c r="B9" s="52" t="n">
        <v>7318160</v>
      </c>
      <c r="C9" s="52" t="n">
        <v>2171720818</v>
      </c>
      <c r="D9" s="30" t="n">
        <f aca="false">IF(OR(B9="",C9=""),"",C9/B9)</f>
        <v>296.757766706385</v>
      </c>
      <c r="E9" s="30" t="n">
        <f aca="false">IF(D9="","",D9/Premissas!$C$23)</f>
        <v>55.0366778016293</v>
      </c>
      <c r="F9" s="62" t="s">
        <v>433</v>
      </c>
    </row>
    <row r="11" customFormat="false" ht="15" hidden="false" customHeight="true" outlineLevel="0" collapsed="false">
      <c r="A11" s="53" t="s">
        <v>434</v>
      </c>
      <c r="E11" s="30" t="n">
        <f aca="false">IFERROR(E6-E5,0)</f>
        <v>16.5274292018897</v>
      </c>
    </row>
    <row r="12" customFormat="false" ht="15" hidden="false" customHeight="true" outlineLevel="0" collapsed="false">
      <c r="A12" s="29" t="s">
        <v>435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8"/>
    <col collapsed="false" customWidth="true" hidden="false" outlineLevel="0" max="4" min="3" style="1" width="18"/>
    <col collapsed="false" customWidth="true" hidden="false" outlineLevel="0" max="5" min="5" style="1" width="12"/>
    <col collapsed="false" customWidth="true" hidden="false" outlineLevel="0" max="6" min="6" style="1" width="30"/>
  </cols>
  <sheetData>
    <row r="1" customFormat="false" ht="15" hidden="false" customHeight="true" outlineLevel="0" collapsed="false">
      <c r="A1" s="48" t="s">
        <v>436</v>
      </c>
    </row>
    <row r="2" customFormat="false" ht="294" hidden="false" customHeight="true" outlineLevel="0" collapsed="false">
      <c r="A2" s="49" t="s">
        <v>437</v>
      </c>
    </row>
    <row r="4" customFormat="false" ht="15" hidden="false" customHeight="true" outlineLevel="0" collapsed="false">
      <c r="A4" s="50" t="s">
        <v>438</v>
      </c>
      <c r="B4" s="50" t="s">
        <v>354</v>
      </c>
      <c r="C4" s="50" t="s">
        <v>358</v>
      </c>
      <c r="D4" s="50" t="s">
        <v>356</v>
      </c>
      <c r="E4" s="50" t="s">
        <v>359</v>
      </c>
      <c r="F4" s="50" t="s">
        <v>368</v>
      </c>
    </row>
    <row r="5" customFormat="false" ht="15" hidden="false" customHeight="true" outlineLevel="0" collapsed="false">
      <c r="A5" s="27" t="s">
        <v>232</v>
      </c>
      <c r="B5" s="27" t="n">
        <v>2022</v>
      </c>
      <c r="C5" s="52" t="n">
        <v>2701694377</v>
      </c>
      <c r="D5" s="52" t="n">
        <v>15957912695</v>
      </c>
      <c r="E5" s="30" t="n">
        <f aca="false">IF(OR(C5="",D5=""),"",C5/D5*1000)</f>
        <v>169.30123811534</v>
      </c>
      <c r="F5" s="62" t="s">
        <v>439</v>
      </c>
    </row>
    <row r="6" customFormat="false" ht="15" hidden="false" customHeight="true" outlineLevel="0" collapsed="false">
      <c r="A6" s="27" t="s">
        <v>232</v>
      </c>
      <c r="B6" s="27" t="n">
        <v>2023</v>
      </c>
      <c r="C6" s="52" t="n">
        <v>2922833103</v>
      </c>
      <c r="D6" s="52" t="n">
        <v>21727057210</v>
      </c>
      <c r="E6" s="30" t="n">
        <f aca="false">IF(OR(C6="",D6=""),"",C6/D6*1000)</f>
        <v>134.525033682645</v>
      </c>
      <c r="F6" s="62" t="s">
        <v>439</v>
      </c>
    </row>
    <row r="7" customFormat="false" ht="15" hidden="false" customHeight="true" outlineLevel="0" collapsed="false">
      <c r="A7" s="27" t="s">
        <v>232</v>
      </c>
      <c r="B7" s="27" t="n">
        <v>2024</v>
      </c>
      <c r="C7" s="52" t="n">
        <v>2983238226</v>
      </c>
      <c r="D7" s="52" t="n">
        <v>23400371852</v>
      </c>
      <c r="E7" s="30" t="n">
        <f aca="false">IF(OR(C7="",D7=""),"",C7/D7*1000)</f>
        <v>127.486787170223</v>
      </c>
      <c r="F7" s="62" t="s">
        <v>439</v>
      </c>
    </row>
    <row r="8" customFormat="false" ht="15" hidden="false" customHeight="true" outlineLevel="0" collapsed="false">
      <c r="A8" s="27" t="s">
        <v>255</v>
      </c>
      <c r="B8" s="27" t="n">
        <v>2022</v>
      </c>
      <c r="C8" s="52" t="n">
        <v>462007058</v>
      </c>
      <c r="D8" s="52" t="n">
        <v>3205858160</v>
      </c>
      <c r="E8" s="30" t="n">
        <f aca="false">IF(OR(C8="",D8=""),"",C8/D8*1000)</f>
        <v>144.113380861491</v>
      </c>
      <c r="F8" s="62" t="s">
        <v>439</v>
      </c>
    </row>
    <row r="9" customFormat="false" ht="15" hidden="false" customHeight="true" outlineLevel="0" collapsed="false">
      <c r="A9" s="27" t="s">
        <v>255</v>
      </c>
      <c r="B9" s="27" t="n">
        <v>2023</v>
      </c>
      <c r="C9" s="52" t="n">
        <v>363694457</v>
      </c>
      <c r="D9" s="52" t="n">
        <v>3201826110</v>
      </c>
      <c r="E9" s="30" t="n">
        <f aca="false">IF(OR(C9="",D9=""),"",C9/D9*1000)</f>
        <v>113.589696787125</v>
      </c>
      <c r="F9" s="62" t="s">
        <v>439</v>
      </c>
    </row>
    <row r="10" customFormat="false" ht="15" hidden="false" customHeight="true" outlineLevel="0" collapsed="false">
      <c r="A10" s="27" t="s">
        <v>255</v>
      </c>
      <c r="B10" s="27" t="n">
        <v>2024</v>
      </c>
      <c r="C10" s="52" t="n">
        <v>296364248</v>
      </c>
      <c r="D10" s="52" t="n">
        <v>2677871800</v>
      </c>
      <c r="E10" s="30" t="n">
        <f aca="false">IF(OR(C10="",D10=""),"",C10/D10*1000)</f>
        <v>110.671559407736</v>
      </c>
      <c r="F10" s="62" t="s">
        <v>439</v>
      </c>
    </row>
    <row r="12" customFormat="false" ht="15" hidden="false" customHeight="true" outlineLevel="0" collapsed="false">
      <c r="A12" s="53" t="s">
        <v>440</v>
      </c>
      <c r="E12" s="30" t="n">
        <f aca="false">IFERROR(IF(Premissas!C6=0,AVERAGE(E5:E7),INDEX(E5:E7,MATCH(Premissas!C6,B5:B7,0))),"")</f>
        <v>127.486787170223</v>
      </c>
    </row>
    <row r="13" customFormat="false" ht="15" hidden="false" customHeight="true" outlineLevel="0" collapsed="false">
      <c r="A13" s="53" t="s">
        <v>441</v>
      </c>
      <c r="E13" s="30" t="n">
        <f aca="false">IFERROR(IF(Premissas!C6=0,AVERAGE(E8:E10),INDEX(E8:E10,MATCH(Premissas!C6,B8:B10,0))),"")</f>
        <v>110.671559407736</v>
      </c>
    </row>
    <row r="14" customFormat="false" ht="15" hidden="false" customHeight="true" outlineLevel="0" collapsed="false">
      <c r="A14" s="53" t="s">
        <v>442</v>
      </c>
      <c r="E14" s="30" t="n">
        <f aca="false">IFERROR(E13-E12,0)</f>
        <v>-16.8152277624873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95"/>
  </cols>
  <sheetData>
    <row r="1" customFormat="false" ht="15" hidden="false" customHeight="true" outlineLevel="0" collapsed="false">
      <c r="A1" s="48" t="s">
        <v>443</v>
      </c>
    </row>
    <row r="2" customFormat="false" ht="63.75" hidden="false" customHeight="true" outlineLevel="0" collapsed="false">
      <c r="A2" s="49" t="s">
        <v>444</v>
      </c>
    </row>
    <row r="4" customFormat="false" ht="15" hidden="false" customHeight="true" outlineLevel="0" collapsed="false">
      <c r="A4" s="7" t="s">
        <v>445</v>
      </c>
    </row>
    <row r="5" customFormat="false" ht="15" hidden="false" customHeight="true" outlineLevel="0" collapsed="false">
      <c r="A5" s="50" t="s">
        <v>365</v>
      </c>
      <c r="B5" s="50" t="s">
        <v>366</v>
      </c>
      <c r="C5" s="50" t="s">
        <v>367</v>
      </c>
      <c r="D5" s="50" t="s">
        <v>368</v>
      </c>
    </row>
    <row r="6" customFormat="false" ht="15" hidden="false" customHeight="true" outlineLevel="0" collapsed="false">
      <c r="A6" s="27" t="s">
        <v>369</v>
      </c>
      <c r="B6" s="32" t="n">
        <v>7.63</v>
      </c>
      <c r="C6" s="54" t="n">
        <v>0.1639</v>
      </c>
      <c r="D6" s="29" t="s">
        <v>446</v>
      </c>
    </row>
    <row r="7" customFormat="false" ht="15" hidden="false" customHeight="true" outlineLevel="0" collapsed="false">
      <c r="A7" s="27" t="s">
        <v>371</v>
      </c>
      <c r="B7" s="32" t="n">
        <v>16.03</v>
      </c>
      <c r="C7" s="54" t="n">
        <v>0.0831</v>
      </c>
      <c r="D7" s="29" t="s">
        <v>447</v>
      </c>
    </row>
    <row r="8" customFormat="false" ht="15" hidden="false" customHeight="true" outlineLevel="0" collapsed="false">
      <c r="A8" s="27" t="s">
        <v>448</v>
      </c>
      <c r="B8" s="63" t="n">
        <f aca="false">CM_Frete!B8</f>
        <v>1.0967</v>
      </c>
      <c r="D8" s="29" t="s">
        <v>449</v>
      </c>
    </row>
    <row r="10" customFormat="false" ht="15" hidden="false" customHeight="true" outlineLevel="0" collapsed="false">
      <c r="A10" s="7" t="s">
        <v>375</v>
      </c>
    </row>
    <row r="11" customFormat="false" ht="15" hidden="false" customHeight="true" outlineLevel="0" collapsed="false">
      <c r="A11" s="50" t="s">
        <v>376</v>
      </c>
      <c r="B11" s="50" t="s">
        <v>365</v>
      </c>
      <c r="C11" s="50" t="s">
        <v>377</v>
      </c>
      <c r="D11" s="50" t="s">
        <v>378</v>
      </c>
      <c r="E11" s="50" t="s">
        <v>379</v>
      </c>
    </row>
    <row r="12" customFormat="false" ht="15" hidden="false" customHeight="true" outlineLevel="0" collapsed="false">
      <c r="A12" s="27" t="s">
        <v>450</v>
      </c>
      <c r="B12" s="27" t="s">
        <v>371</v>
      </c>
      <c r="C12" s="55" t="n">
        <v>550</v>
      </c>
      <c r="D12" s="30" t="n">
        <f aca="false">($B$7+$C$7*C12)*$B$8</f>
        <v>67.7047745</v>
      </c>
      <c r="E12" s="29" t="s">
        <v>451</v>
      </c>
    </row>
    <row r="13" customFormat="false" ht="15" hidden="false" customHeight="true" outlineLevel="0" collapsed="false">
      <c r="A13" s="27" t="s">
        <v>452</v>
      </c>
      <c r="B13" s="27" t="s">
        <v>369</v>
      </c>
      <c r="C13" s="55" t="n">
        <v>340</v>
      </c>
      <c r="D13" s="30" t="n">
        <f aca="false">($B$6+$C$6*C13)</f>
        <v>63.356</v>
      </c>
      <c r="E13" s="29" t="s">
        <v>453</v>
      </c>
    </row>
    <row r="14" customFormat="false" ht="15" hidden="false" customHeight="true" outlineLevel="0" collapsed="false">
      <c r="A14" s="27" t="s">
        <v>454</v>
      </c>
      <c r="B14" s="27" t="s">
        <v>369</v>
      </c>
      <c r="C14" s="55" t="n">
        <v>450</v>
      </c>
      <c r="D14" s="30" t="n">
        <f aca="false">($B$6+$C$6*C14)</f>
        <v>81.385</v>
      </c>
      <c r="E14" s="29" t="s">
        <v>455</v>
      </c>
    </row>
    <row r="16" customFormat="false" ht="15" hidden="false" customHeight="true" outlineLevel="0" collapsed="false">
      <c r="A16" s="7" t="s">
        <v>456</v>
      </c>
    </row>
    <row r="17" customFormat="false" ht="15" hidden="false" customHeight="true" outlineLevel="0" collapsed="false">
      <c r="A17" s="50" t="s">
        <v>389</v>
      </c>
      <c r="B17" s="50" t="s">
        <v>135</v>
      </c>
      <c r="C17" s="50" t="s">
        <v>390</v>
      </c>
      <c r="D17" s="50" t="s">
        <v>391</v>
      </c>
    </row>
    <row r="18" customFormat="false" ht="15" hidden="false" customHeight="true" outlineLevel="0" collapsed="false">
      <c r="A18" s="27" t="s">
        <v>399</v>
      </c>
      <c r="B18" s="27" t="s">
        <v>232</v>
      </c>
      <c r="C18" s="56" t="n">
        <v>7500</v>
      </c>
      <c r="D18" s="30" t="n">
        <f aca="false">D12</f>
        <v>67.7047745</v>
      </c>
    </row>
    <row r="19" customFormat="false" ht="15" hidden="false" customHeight="true" outlineLevel="0" collapsed="false">
      <c r="A19" s="27" t="s">
        <v>396</v>
      </c>
      <c r="B19" s="27" t="s">
        <v>248</v>
      </c>
      <c r="C19" s="56" t="n">
        <v>4505</v>
      </c>
      <c r="D19" s="30" t="n">
        <f aca="false">D13</f>
        <v>63.356</v>
      </c>
    </row>
    <row r="20" customFormat="false" ht="15" hidden="false" customHeight="true" outlineLevel="0" collapsed="false">
      <c r="A20" s="27" t="s">
        <v>397</v>
      </c>
      <c r="B20" s="27" t="s">
        <v>248</v>
      </c>
      <c r="C20" s="56" t="n">
        <v>5000</v>
      </c>
      <c r="D20" s="30" t="n">
        <f aca="false">D14</f>
        <v>81.385</v>
      </c>
    </row>
    <row r="22" customFormat="false" ht="15" hidden="false" customHeight="true" outlineLevel="0" collapsed="false">
      <c r="A22" s="53" t="s">
        <v>457</v>
      </c>
      <c r="D22" s="30" t="n">
        <f aca="false">D18</f>
        <v>67.7047745</v>
      </c>
    </row>
    <row r="23" customFormat="false" ht="15" hidden="false" customHeight="true" outlineLevel="0" collapsed="false">
      <c r="A23" s="53" t="s">
        <v>404</v>
      </c>
      <c r="D23" s="30" t="n">
        <f aca="false">(C19*D19+C20*D20)/(C19+C20)</f>
        <v>72.8399558127301</v>
      </c>
    </row>
    <row r="24" customFormat="false" ht="15" hidden="false" customHeight="true" outlineLevel="0" collapsed="false">
      <c r="A24" s="53" t="s">
        <v>93</v>
      </c>
      <c r="D24" s="58" t="n">
        <f aca="false">Premissas!C23</f>
        <v>5.392</v>
      </c>
    </row>
    <row r="25" customFormat="false" ht="15" hidden="false" customHeight="true" outlineLevel="0" collapsed="false">
      <c r="A25" s="53" t="s">
        <v>458</v>
      </c>
      <c r="D25" s="30" t="n">
        <f aca="false">D22/D24</f>
        <v>12.5565234606825</v>
      </c>
    </row>
    <row r="26" customFormat="false" ht="15" hidden="false" customHeight="true" outlineLevel="0" collapsed="false">
      <c r="A26" s="53" t="s">
        <v>407</v>
      </c>
      <c r="D26" s="30" t="n">
        <f aca="false">D23/D24</f>
        <v>13.5088938821829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8"/>
    <col collapsed="false" customWidth="true" hidden="false" outlineLevel="0" max="4" min="3" style="1" width="17"/>
    <col collapsed="false" customWidth="true" hidden="false" outlineLevel="0" max="5" min="5" style="1" width="20"/>
    <col collapsed="false" customWidth="true" hidden="false" outlineLevel="0" max="6" min="6" style="1" width="18"/>
    <col collapsed="false" customWidth="true" hidden="false" outlineLevel="0" max="7" min="7" style="1" width="17"/>
    <col collapsed="false" customWidth="true" hidden="false" outlineLevel="0" max="8" min="8" style="1" width="60"/>
  </cols>
  <sheetData>
    <row r="1" customFormat="false" ht="15" hidden="false" customHeight="true" outlineLevel="0" collapsed="false">
      <c r="A1" s="48" t="s">
        <v>459</v>
      </c>
    </row>
    <row r="2" customFormat="false" ht="480.75" hidden="false" customHeight="true" outlineLevel="0" collapsed="false">
      <c r="A2" s="49" t="s">
        <v>460</v>
      </c>
    </row>
    <row r="4" customFormat="false" ht="15" hidden="false" customHeight="true" outlineLevel="0" collapsed="false">
      <c r="A4" s="50" t="s">
        <v>135</v>
      </c>
      <c r="B4" s="50" t="s">
        <v>461</v>
      </c>
      <c r="C4" s="50" t="s">
        <v>462</v>
      </c>
      <c r="D4" s="50" t="s">
        <v>463</v>
      </c>
      <c r="E4" s="50" t="s">
        <v>464</v>
      </c>
      <c r="F4" s="50" t="s">
        <v>465</v>
      </c>
      <c r="G4" s="50" t="s">
        <v>466</v>
      </c>
      <c r="H4" s="50" t="s">
        <v>467</v>
      </c>
    </row>
    <row r="5" customFormat="false" ht="15" hidden="false" customHeight="true" outlineLevel="0" collapsed="false">
      <c r="A5" s="27" t="s">
        <v>230</v>
      </c>
      <c r="B5" s="57" t="n">
        <v>0</v>
      </c>
      <c r="C5" s="57" t="n">
        <v>0</v>
      </c>
      <c r="D5" s="30" t="n">
        <f aca="false">B5+C5</f>
        <v>0</v>
      </c>
      <c r="E5" s="30" t="n">
        <f aca="false">D5*Premissas!$C$47</f>
        <v>0</v>
      </c>
      <c r="F5" s="57" t="n">
        <v>0</v>
      </c>
      <c r="G5" s="30" t="n">
        <f aca="false">F5*Premissas!$C$48</f>
        <v>0</v>
      </c>
    </row>
    <row r="6" customFormat="false" ht="15" hidden="false" customHeight="true" outlineLevel="0" collapsed="false">
      <c r="A6" s="27" t="s">
        <v>252</v>
      </c>
      <c r="B6" s="57" t="n">
        <v>0</v>
      </c>
      <c r="C6" s="57" t="n">
        <v>0</v>
      </c>
      <c r="D6" s="30" t="n">
        <f aca="false">B6+C6</f>
        <v>0</v>
      </c>
      <c r="E6" s="30" t="n">
        <f aca="false">D6*Premissas!$C$47</f>
        <v>0</v>
      </c>
      <c r="F6" s="57" t="n">
        <v>0</v>
      </c>
      <c r="G6" s="30" t="n">
        <f aca="false">F6*Premissas!$C$48</f>
        <v>0</v>
      </c>
    </row>
    <row r="7" customFormat="false" ht="15" hidden="false" customHeight="true" outlineLevel="0" collapsed="false">
      <c r="A7" s="27" t="s">
        <v>282</v>
      </c>
      <c r="B7" s="57" t="n">
        <v>0</v>
      </c>
      <c r="C7" s="57" t="n">
        <v>0</v>
      </c>
      <c r="D7" s="30" t="n">
        <f aca="false">B7+C7</f>
        <v>0</v>
      </c>
      <c r="E7" s="30" t="n">
        <f aca="false">D7*Premissas!$C$47</f>
        <v>0</v>
      </c>
      <c r="F7" s="57" t="n">
        <v>0</v>
      </c>
      <c r="G7" s="30" t="n">
        <f aca="false">F7*Premissas!$C$48</f>
        <v>0</v>
      </c>
    </row>
    <row r="8" customFormat="false" ht="15" hidden="false" customHeight="true" outlineLevel="0" collapsed="false">
      <c r="A8" s="27" t="s">
        <v>153</v>
      </c>
      <c r="B8" s="57" t="n">
        <v>0</v>
      </c>
      <c r="C8" s="57" t="n">
        <v>0</v>
      </c>
      <c r="D8" s="30" t="n">
        <f aca="false">B8+C8</f>
        <v>0</v>
      </c>
      <c r="E8" s="30" t="n">
        <f aca="false">D8*Premissas!$C$47</f>
        <v>0</v>
      </c>
      <c r="F8" s="57" t="n">
        <v>0</v>
      </c>
      <c r="G8" s="30" t="n">
        <f aca="false">F8*Premissas!$C$48</f>
        <v>0</v>
      </c>
    </row>
    <row r="9" customFormat="false" ht="15" hidden="false" customHeight="true" outlineLevel="0" collapsed="false">
      <c r="A9" s="27" t="s">
        <v>206</v>
      </c>
      <c r="B9" s="57" t="n">
        <v>0</v>
      </c>
      <c r="C9" s="57" t="n">
        <v>0</v>
      </c>
      <c r="D9" s="30" t="n">
        <f aca="false">B9+C9</f>
        <v>0</v>
      </c>
      <c r="E9" s="30" t="n">
        <f aca="false">D9*Premissas!$C$47</f>
        <v>0</v>
      </c>
      <c r="F9" s="57" t="n">
        <v>0</v>
      </c>
      <c r="G9" s="30" t="n">
        <f aca="false">F9*Premissas!$C$48</f>
        <v>0</v>
      </c>
    </row>
    <row r="10" customFormat="false" ht="15" hidden="false" customHeight="true" outlineLevel="0" collapsed="false">
      <c r="A10" s="27" t="s">
        <v>246</v>
      </c>
      <c r="B10" s="59" t="n">
        <f aca="false">Premissas!$C$49</f>
        <v>16.12</v>
      </c>
      <c r="C10" s="57" t="n">
        <v>0</v>
      </c>
      <c r="D10" s="30" t="n">
        <f aca="false">B10+C10</f>
        <v>16.12</v>
      </c>
      <c r="E10" s="30" t="n">
        <f aca="false">D10*Premissas!$C$47</f>
        <v>25.792</v>
      </c>
      <c r="F10" s="59" t="n">
        <f aca="false">Premissas!$C$49</f>
        <v>16.12</v>
      </c>
      <c r="G10" s="30" t="n">
        <f aca="false">F10*Premissas!$C$48</f>
        <v>23.374</v>
      </c>
      <c r="H10" s="29" t="s">
        <v>468</v>
      </c>
    </row>
    <row r="11" customFormat="false" ht="15" hidden="false" customHeight="true" outlineLevel="0" collapsed="false">
      <c r="A11" s="27" t="s">
        <v>271</v>
      </c>
      <c r="B11" s="57" t="n">
        <v>0</v>
      </c>
      <c r="C11" s="57" t="n">
        <v>0</v>
      </c>
      <c r="D11" s="30" t="n">
        <f aca="false">B11+C11</f>
        <v>0</v>
      </c>
      <c r="E11" s="30" t="n">
        <f aca="false">D11*Premissas!$C$47</f>
        <v>0</v>
      </c>
      <c r="F11" s="57" t="n">
        <v>0</v>
      </c>
      <c r="G11" s="30" t="n">
        <f aca="false">F11*Premissas!$C$48</f>
        <v>0</v>
      </c>
    </row>
    <row r="12" customFormat="false" ht="15" hidden="false" customHeight="true" outlineLevel="0" collapsed="false">
      <c r="A12" s="27" t="s">
        <v>232</v>
      </c>
      <c r="B12" s="59" t="n">
        <f aca="false">Ore_Frete!D25</f>
        <v>12.5565234606825</v>
      </c>
      <c r="C12" s="57" t="n">
        <v>0</v>
      </c>
      <c r="D12" s="30" t="n">
        <f aca="false">B12+C12</f>
        <v>12.5565234606825</v>
      </c>
      <c r="E12" s="30" t="n">
        <f aca="false">D12*Premissas!$C$47</f>
        <v>20.090437537092</v>
      </c>
      <c r="F12" s="57" t="n">
        <v>0</v>
      </c>
      <c r="G12" s="30" t="n">
        <f aca="false">F12*Premissas!$C$48</f>
        <v>0</v>
      </c>
      <c r="H12" s="29" t="s">
        <v>469</v>
      </c>
    </row>
    <row r="13" customFormat="false" ht="15" hidden="false" customHeight="true" outlineLevel="0" collapsed="false">
      <c r="A13" s="27" t="s">
        <v>202</v>
      </c>
      <c r="B13" s="57" t="n">
        <v>0</v>
      </c>
      <c r="C13" s="57" t="n">
        <v>0</v>
      </c>
      <c r="D13" s="30" t="n">
        <f aca="false">B13+C13</f>
        <v>0</v>
      </c>
      <c r="E13" s="30" t="n">
        <f aca="false">D13*Premissas!$C$47</f>
        <v>0</v>
      </c>
      <c r="F13" s="57" t="n">
        <v>0</v>
      </c>
      <c r="G13" s="30" t="n">
        <f aca="false">F13*Premissas!$C$48</f>
        <v>0</v>
      </c>
    </row>
    <row r="14" customFormat="false" ht="15" hidden="false" customHeight="true" outlineLevel="0" collapsed="false">
      <c r="A14" s="27" t="s">
        <v>255</v>
      </c>
      <c r="B14" s="57" t="n">
        <v>0</v>
      </c>
      <c r="C14" s="57" t="n">
        <v>0</v>
      </c>
      <c r="D14" s="30" t="n">
        <f aca="false">B14+C14</f>
        <v>0</v>
      </c>
      <c r="E14" s="30" t="n">
        <f aca="false">D14*Premissas!$C$47</f>
        <v>0</v>
      </c>
      <c r="F14" s="59" t="n">
        <f aca="false">IF(UPPER(Premissas!$C$51)="ZERO",0,Pelota_Comex!E14)</f>
        <v>-16.8152277624873</v>
      </c>
      <c r="G14" s="30" t="n">
        <f aca="false">F14*Premissas!$C$48</f>
        <v>-24.3820802556066</v>
      </c>
      <c r="H14" s="29" t="s">
        <v>470</v>
      </c>
    </row>
    <row r="15" customFormat="false" ht="15" hidden="false" customHeight="true" outlineLevel="0" collapsed="false">
      <c r="A15" s="27" t="s">
        <v>167</v>
      </c>
      <c r="B15" s="57" t="n">
        <v>0</v>
      </c>
      <c r="C15" s="57" t="n">
        <v>0</v>
      </c>
      <c r="D15" s="30" t="n">
        <f aca="false">B15+C15</f>
        <v>0</v>
      </c>
      <c r="E15" s="30" t="n">
        <f aca="false">D15*Premissas!$C$47</f>
        <v>0</v>
      </c>
      <c r="F15" s="57" t="n">
        <v>0</v>
      </c>
      <c r="G15" s="30" t="n">
        <f aca="false">F15*Premissas!$C$48</f>
        <v>0</v>
      </c>
      <c r="H15" s="29" t="s">
        <v>471</v>
      </c>
    </row>
    <row r="16" customFormat="false" ht="15" hidden="false" customHeight="true" outlineLevel="0" collapsed="false">
      <c r="A16" s="27" t="s">
        <v>242</v>
      </c>
      <c r="B16" s="57" t="n">
        <v>0</v>
      </c>
      <c r="C16" s="57" t="n">
        <v>0</v>
      </c>
      <c r="D16" s="30" t="n">
        <f aca="false">B16+C16</f>
        <v>0</v>
      </c>
      <c r="E16" s="30" t="n">
        <f aca="false">D16*Premissas!$C$47</f>
        <v>0</v>
      </c>
      <c r="F16" s="57" t="n">
        <v>0</v>
      </c>
      <c r="G16" s="30" t="n">
        <f aca="false">F16*Premissas!$C$48</f>
        <v>0</v>
      </c>
    </row>
    <row r="17" customFormat="false" ht="15" hidden="false" customHeight="true" outlineLevel="0" collapsed="false">
      <c r="A17" s="27" t="s">
        <v>244</v>
      </c>
      <c r="B17" s="57" t="n">
        <v>0</v>
      </c>
      <c r="C17" s="57" t="n">
        <v>0</v>
      </c>
      <c r="D17" s="30" t="n">
        <f aca="false">B17+C17</f>
        <v>0</v>
      </c>
      <c r="E17" s="30" t="n">
        <f aca="false">D17*Premissas!$C$47</f>
        <v>0</v>
      </c>
      <c r="F17" s="57" t="n">
        <v>0</v>
      </c>
      <c r="G17" s="30" t="n">
        <f aca="false">F17*Premissas!$C$48</f>
        <v>0</v>
      </c>
    </row>
    <row r="18" customFormat="false" ht="15" hidden="false" customHeight="true" outlineLevel="0" collapsed="false">
      <c r="A18" s="27" t="s">
        <v>257</v>
      </c>
      <c r="B18" s="57" t="n">
        <v>0</v>
      </c>
      <c r="C18" s="59" t="n">
        <f aca="false">Minerio_ANM!E11</f>
        <v>16.5274292018897</v>
      </c>
      <c r="D18" s="30" t="n">
        <f aca="false">B18+C18</f>
        <v>16.5274292018897</v>
      </c>
      <c r="E18" s="30" t="n">
        <f aca="false">D18*Premissas!$C$47</f>
        <v>26.4438867230236</v>
      </c>
      <c r="F18" s="57" t="n">
        <v>0</v>
      </c>
      <c r="G18" s="30" t="n">
        <f aca="false">F18*Premissas!$C$48</f>
        <v>0</v>
      </c>
      <c r="H18" s="29" t="s">
        <v>472</v>
      </c>
    </row>
    <row r="19" customFormat="false" ht="15" hidden="false" customHeight="true" outlineLevel="0" collapsed="false">
      <c r="A19" s="27" t="s">
        <v>250</v>
      </c>
      <c r="B19" s="57" t="n">
        <v>0</v>
      </c>
      <c r="C19" s="57" t="n">
        <v>0</v>
      </c>
      <c r="D19" s="30" t="n">
        <f aca="false">B19+C19</f>
        <v>0</v>
      </c>
      <c r="E19" s="30" t="n">
        <f aca="false">D19*Premissas!$C$47</f>
        <v>0</v>
      </c>
      <c r="F19" s="57" t="n">
        <v>0</v>
      </c>
      <c r="G19" s="30" t="n">
        <f aca="false">F19*Premissas!$C$48</f>
        <v>0</v>
      </c>
    </row>
    <row r="20" customFormat="false" ht="15" hidden="false" customHeight="true" outlineLevel="0" collapsed="false">
      <c r="A20" s="27" t="s">
        <v>273</v>
      </c>
      <c r="B20" s="57" t="n">
        <v>0</v>
      </c>
      <c r="C20" s="57" t="n">
        <v>0</v>
      </c>
      <c r="D20" s="30" t="n">
        <f aca="false">B20+C20</f>
        <v>0</v>
      </c>
      <c r="E20" s="30" t="n">
        <f aca="false">D20*Premissas!$C$47</f>
        <v>0</v>
      </c>
      <c r="F20" s="57" t="n">
        <v>0</v>
      </c>
      <c r="G20" s="30" t="n">
        <f aca="false">F20*Premissas!$C$48</f>
        <v>0</v>
      </c>
    </row>
    <row r="21" customFormat="false" ht="15" hidden="false" customHeight="true" outlineLevel="0" collapsed="false">
      <c r="A21" s="27" t="s">
        <v>259</v>
      </c>
      <c r="B21" s="57" t="n">
        <v>0</v>
      </c>
      <c r="C21" s="57" t="n">
        <v>0</v>
      </c>
      <c r="D21" s="30" t="n">
        <f aca="false">B21+C21</f>
        <v>0</v>
      </c>
      <c r="E21" s="30" t="n">
        <f aca="false">D21*Premissas!$C$47</f>
        <v>0</v>
      </c>
      <c r="F21" s="57" t="n">
        <v>0</v>
      </c>
      <c r="G21" s="30" t="n">
        <f aca="false">F21*Premissas!$C$48</f>
        <v>0</v>
      </c>
    </row>
    <row r="22" customFormat="false" ht="15" hidden="false" customHeight="true" outlineLevel="0" collapsed="false">
      <c r="A22" s="27" t="s">
        <v>150</v>
      </c>
      <c r="B22" s="57" t="n">
        <v>0</v>
      </c>
      <c r="C22" s="57" t="n">
        <v>0</v>
      </c>
      <c r="D22" s="30" t="n">
        <f aca="false">B22+C22</f>
        <v>0</v>
      </c>
      <c r="E22" s="30" t="n">
        <f aca="false">D22*Premissas!$C$47</f>
        <v>0</v>
      </c>
      <c r="F22" s="57" t="n">
        <v>0</v>
      </c>
      <c r="G22" s="30" t="n">
        <f aca="false">F22*Premissas!$C$48</f>
        <v>0</v>
      </c>
    </row>
    <row r="23" customFormat="false" ht="15" hidden="false" customHeight="true" outlineLevel="0" collapsed="false">
      <c r="A23" s="27" t="s">
        <v>248</v>
      </c>
      <c r="B23" s="59" t="n">
        <f aca="false">Ore_Frete!D26</f>
        <v>13.5088938821829</v>
      </c>
      <c r="C23" s="57" t="n">
        <v>0</v>
      </c>
      <c r="D23" s="30" t="n">
        <f aca="false">B23+C23</f>
        <v>13.5088938821829</v>
      </c>
      <c r="E23" s="30" t="n">
        <f aca="false">D23*Premissas!$C$47</f>
        <v>21.6142302114926</v>
      </c>
      <c r="F23" s="59" t="n">
        <f aca="false">Premissas!$C$49</f>
        <v>16.12</v>
      </c>
      <c r="G23" s="30" t="n">
        <f aca="false">F23*Premissas!$C$48</f>
        <v>23.374</v>
      </c>
      <c r="H23" s="29" t="s">
        <v>473</v>
      </c>
    </row>
    <row r="24" customFormat="false" ht="15" hidden="false" customHeight="true" outlineLevel="0" collapsed="false">
      <c r="A24" s="27" t="s">
        <v>219</v>
      </c>
      <c r="B24" s="57" t="n">
        <v>0</v>
      </c>
      <c r="C24" s="57" t="n">
        <v>0</v>
      </c>
      <c r="D24" s="30" t="n">
        <f aca="false">B24+C24</f>
        <v>0</v>
      </c>
      <c r="E24" s="30" t="n">
        <f aca="false">D24*Premissas!$C$47</f>
        <v>0</v>
      </c>
      <c r="F24" s="57" t="n">
        <v>0</v>
      </c>
      <c r="G24" s="30" t="n">
        <f aca="false">F24*Premissas!$C$48</f>
        <v>0</v>
      </c>
    </row>
    <row r="25" customFormat="false" ht="15" hidden="false" customHeight="true" outlineLevel="0" collapsed="false">
      <c r="A25" s="27" t="s">
        <v>261</v>
      </c>
      <c r="B25" s="57" t="n">
        <v>0</v>
      </c>
      <c r="C25" s="57" t="n">
        <v>0</v>
      </c>
      <c r="D25" s="30" t="n">
        <f aca="false">B25+C25</f>
        <v>0</v>
      </c>
      <c r="E25" s="30" t="n">
        <f aca="false">D25*Premissas!$C$47</f>
        <v>0</v>
      </c>
      <c r="F25" s="57" t="n">
        <v>0</v>
      </c>
      <c r="G25" s="30" t="n">
        <f aca="false">F25*Premissas!$C$48</f>
        <v>0</v>
      </c>
    </row>
    <row r="26" customFormat="false" ht="15" hidden="false" customHeight="true" outlineLevel="0" collapsed="false">
      <c r="A26" s="27" t="s">
        <v>280</v>
      </c>
      <c r="B26" s="57" t="n">
        <v>0</v>
      </c>
      <c r="C26" s="57" t="n">
        <v>0</v>
      </c>
      <c r="D26" s="30" t="n">
        <f aca="false">B26+C26</f>
        <v>0</v>
      </c>
      <c r="E26" s="30" t="n">
        <f aca="false">D26*Premissas!$C$47</f>
        <v>0</v>
      </c>
      <c r="F26" s="57" t="n">
        <v>0</v>
      </c>
      <c r="G26" s="30" t="n">
        <f aca="false">F26*Premissas!$C$48</f>
        <v>0</v>
      </c>
    </row>
    <row r="27" customFormat="false" ht="15" hidden="false" customHeight="true" outlineLevel="0" collapsed="false">
      <c r="A27" s="27" t="s">
        <v>160</v>
      </c>
      <c r="B27" s="57" t="n">
        <v>0</v>
      </c>
      <c r="C27" s="57" t="n">
        <v>0</v>
      </c>
      <c r="D27" s="30" t="n">
        <f aca="false">B27+C27</f>
        <v>0</v>
      </c>
      <c r="E27" s="30" t="n">
        <f aca="false">D27*Premissas!$C$47</f>
        <v>0</v>
      </c>
      <c r="F27" s="57" t="n">
        <v>0</v>
      </c>
      <c r="G27" s="30" t="n">
        <f aca="false">F27*Premissas!$C$48</f>
        <v>0</v>
      </c>
    </row>
    <row r="28" customFormat="false" ht="15" hidden="false" customHeight="true" outlineLevel="0" collapsed="false">
      <c r="A28" s="27" t="s">
        <v>164</v>
      </c>
      <c r="B28" s="57" t="n">
        <v>0</v>
      </c>
      <c r="C28" s="57" t="n">
        <v>0</v>
      </c>
      <c r="D28" s="30" t="n">
        <f aca="false">B28+C28</f>
        <v>0</v>
      </c>
      <c r="E28" s="30" t="n">
        <f aca="false">D28*Premissas!$C$47</f>
        <v>0</v>
      </c>
      <c r="F28" s="57" t="n">
        <v>0</v>
      </c>
      <c r="G28" s="30" t="n">
        <f aca="false">F28*Premissas!$C$48</f>
        <v>0</v>
      </c>
    </row>
    <row r="29" customFormat="false" ht="15" hidden="false" customHeight="true" outlineLevel="0" collapsed="false">
      <c r="A29" s="27" t="s">
        <v>263</v>
      </c>
      <c r="B29" s="57" t="n">
        <v>0</v>
      </c>
      <c r="C29" s="57" t="n">
        <v>0</v>
      </c>
      <c r="D29" s="30" t="n">
        <f aca="false">B29+C29</f>
        <v>0</v>
      </c>
      <c r="E29" s="30" t="n">
        <f aca="false">D29*Premissas!$C$47</f>
        <v>0</v>
      </c>
      <c r="F29" s="57" t="n">
        <v>0</v>
      </c>
      <c r="G29" s="30" t="n">
        <f aca="false">F29*Premissas!$C$48</f>
        <v>0</v>
      </c>
    </row>
    <row r="30" customFormat="false" ht="15" hidden="false" customHeight="true" outlineLevel="0" collapsed="false">
      <c r="A30" s="27" t="s">
        <v>221</v>
      </c>
      <c r="B30" s="57" t="n">
        <v>0</v>
      </c>
      <c r="C30" s="57" t="n">
        <v>0</v>
      </c>
      <c r="D30" s="30" t="n">
        <f aca="false">B30+C30</f>
        <v>0</v>
      </c>
      <c r="E30" s="30" t="n">
        <f aca="false">D30*Premissas!$C$47</f>
        <v>0</v>
      </c>
      <c r="F30" s="57" t="n">
        <v>0</v>
      </c>
      <c r="G30" s="30" t="n">
        <f aca="false">F30*Premissas!$C$48</f>
        <v>0</v>
      </c>
    </row>
    <row r="31" customFormat="false" ht="15" hidden="false" customHeight="true" outlineLevel="0" collapsed="false">
      <c r="A31" s="27" t="s">
        <v>266</v>
      </c>
      <c r="B31" s="57" t="n">
        <v>0</v>
      </c>
      <c r="C31" s="57" t="n">
        <v>0</v>
      </c>
      <c r="D31" s="30" t="n">
        <f aca="false">B31+C31</f>
        <v>0</v>
      </c>
      <c r="E31" s="30" t="n">
        <f aca="false">D31*Premissas!$C$47</f>
        <v>0</v>
      </c>
      <c r="F31" s="57" t="n">
        <v>0</v>
      </c>
      <c r="G31" s="30" t="n">
        <f aca="false">F31*Premissas!$C$48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8"/>
    <col collapsed="false" customWidth="true" hidden="false" outlineLevel="0" max="3" min="3" style="1" width="20"/>
    <col collapsed="false" customWidth="true" hidden="false" outlineLevel="0" max="4" min="4" style="1" width="80"/>
  </cols>
  <sheetData>
    <row r="1" customFormat="false" ht="15" hidden="false" customHeight="true" outlineLevel="0" collapsed="false">
      <c r="A1" s="50" t="s">
        <v>474</v>
      </c>
      <c r="B1" s="50" t="s">
        <v>475</v>
      </c>
      <c r="C1" s="50" t="s">
        <v>476</v>
      </c>
      <c r="D1" s="50" t="s">
        <v>477</v>
      </c>
      <c r="F1" s="50" t="s">
        <v>478</v>
      </c>
    </row>
    <row r="2" customFormat="false" ht="15" hidden="false" customHeight="true" outlineLevel="0" collapsed="false">
      <c r="A2" s="27" t="s">
        <v>479</v>
      </c>
      <c r="B2" s="27" t="s">
        <v>230</v>
      </c>
      <c r="C2" s="59" t="n">
        <f aca="false">Ore_por_UF!E5</f>
        <v>0</v>
      </c>
      <c r="D2" s="27" t="s">
        <v>480</v>
      </c>
    </row>
    <row r="3" customFormat="false" ht="15" hidden="false" customHeight="true" outlineLevel="0" collapsed="false">
      <c r="A3" s="27" t="s">
        <v>479</v>
      </c>
      <c r="B3" s="27" t="s">
        <v>252</v>
      </c>
      <c r="C3" s="59" t="n">
        <f aca="false">Ore_por_UF!E6</f>
        <v>0</v>
      </c>
      <c r="D3" s="27" t="s">
        <v>480</v>
      </c>
    </row>
    <row r="4" customFormat="false" ht="15" hidden="false" customHeight="true" outlineLevel="0" collapsed="false">
      <c r="A4" s="27" t="s">
        <v>479</v>
      </c>
      <c r="B4" s="27" t="s">
        <v>282</v>
      </c>
      <c r="C4" s="59" t="n">
        <f aca="false">Ore_por_UF!E7</f>
        <v>0</v>
      </c>
      <c r="D4" s="27" t="s">
        <v>480</v>
      </c>
    </row>
    <row r="5" customFormat="false" ht="15" hidden="false" customHeight="true" outlineLevel="0" collapsed="false">
      <c r="A5" s="27" t="s">
        <v>479</v>
      </c>
      <c r="B5" s="27" t="s">
        <v>153</v>
      </c>
      <c r="C5" s="59" t="n">
        <f aca="false">Ore_por_UF!E8</f>
        <v>0</v>
      </c>
      <c r="D5" s="27" t="s">
        <v>480</v>
      </c>
    </row>
    <row r="6" customFormat="false" ht="15" hidden="false" customHeight="true" outlineLevel="0" collapsed="false">
      <c r="A6" s="27" t="s">
        <v>479</v>
      </c>
      <c r="B6" s="27" t="s">
        <v>206</v>
      </c>
      <c r="C6" s="59" t="n">
        <f aca="false">Ore_por_UF!E9</f>
        <v>0</v>
      </c>
      <c r="D6" s="27" t="s">
        <v>480</v>
      </c>
    </row>
    <row r="7" customFormat="false" ht="15" hidden="false" customHeight="true" outlineLevel="0" collapsed="false">
      <c r="A7" s="27" t="s">
        <v>479</v>
      </c>
      <c r="B7" s="27" t="s">
        <v>246</v>
      </c>
      <c r="C7" s="59" t="n">
        <f aca="false">Ore_por_UF!E10</f>
        <v>25.792</v>
      </c>
      <c r="D7" s="27" t="s">
        <v>480</v>
      </c>
    </row>
    <row r="8" customFormat="false" ht="15" hidden="false" customHeight="true" outlineLevel="0" collapsed="false">
      <c r="A8" s="27" t="s">
        <v>479</v>
      </c>
      <c r="B8" s="27" t="s">
        <v>271</v>
      </c>
      <c r="C8" s="59" t="n">
        <f aca="false">Ore_por_UF!E11</f>
        <v>0</v>
      </c>
      <c r="D8" s="27" t="s">
        <v>480</v>
      </c>
    </row>
    <row r="9" customFormat="false" ht="15" hidden="false" customHeight="true" outlineLevel="0" collapsed="false">
      <c r="A9" s="27" t="s">
        <v>479</v>
      </c>
      <c r="B9" s="27" t="s">
        <v>232</v>
      </c>
      <c r="C9" s="59" t="n">
        <f aca="false">Ore_por_UF!E12</f>
        <v>20.090437537092</v>
      </c>
      <c r="D9" s="27" t="s">
        <v>480</v>
      </c>
    </row>
    <row r="10" customFormat="false" ht="15" hidden="false" customHeight="true" outlineLevel="0" collapsed="false">
      <c r="A10" s="27" t="s">
        <v>479</v>
      </c>
      <c r="B10" s="27" t="s">
        <v>202</v>
      </c>
      <c r="C10" s="59" t="n">
        <f aca="false">Ore_por_UF!E13</f>
        <v>0</v>
      </c>
      <c r="D10" s="27" t="s">
        <v>480</v>
      </c>
    </row>
    <row r="11" customFormat="false" ht="15" hidden="false" customHeight="true" outlineLevel="0" collapsed="false">
      <c r="A11" s="27" t="s">
        <v>479</v>
      </c>
      <c r="B11" s="27" t="s">
        <v>255</v>
      </c>
      <c r="C11" s="59" t="n">
        <f aca="false">Ore_por_UF!E14</f>
        <v>0</v>
      </c>
      <c r="D11" s="27" t="s">
        <v>480</v>
      </c>
    </row>
    <row r="12" customFormat="false" ht="15" hidden="false" customHeight="true" outlineLevel="0" collapsed="false">
      <c r="A12" s="27" t="s">
        <v>479</v>
      </c>
      <c r="B12" s="27" t="s">
        <v>167</v>
      </c>
      <c r="C12" s="59" t="n">
        <f aca="false">Ore_por_UF!E15</f>
        <v>0</v>
      </c>
      <c r="D12" s="27" t="s">
        <v>480</v>
      </c>
    </row>
    <row r="13" customFormat="false" ht="15" hidden="false" customHeight="true" outlineLevel="0" collapsed="false">
      <c r="A13" s="27" t="s">
        <v>479</v>
      </c>
      <c r="B13" s="27" t="s">
        <v>242</v>
      </c>
      <c r="C13" s="59" t="n">
        <f aca="false">Ore_por_UF!E16</f>
        <v>0</v>
      </c>
      <c r="D13" s="27" t="s">
        <v>480</v>
      </c>
    </row>
    <row r="14" customFormat="false" ht="15" hidden="false" customHeight="true" outlineLevel="0" collapsed="false">
      <c r="A14" s="27" t="s">
        <v>479</v>
      </c>
      <c r="B14" s="27" t="s">
        <v>244</v>
      </c>
      <c r="C14" s="59" t="n">
        <f aca="false">Ore_por_UF!E17</f>
        <v>0</v>
      </c>
      <c r="D14" s="27" t="s">
        <v>480</v>
      </c>
    </row>
    <row r="15" customFormat="false" ht="15" hidden="false" customHeight="true" outlineLevel="0" collapsed="false">
      <c r="A15" s="27" t="s">
        <v>479</v>
      </c>
      <c r="B15" s="27" t="s">
        <v>257</v>
      </c>
      <c r="C15" s="59" t="n">
        <f aca="false">Ore_por_UF!E18</f>
        <v>26.4438867230236</v>
      </c>
      <c r="D15" s="27" t="s">
        <v>480</v>
      </c>
    </row>
    <row r="16" customFormat="false" ht="15" hidden="false" customHeight="true" outlineLevel="0" collapsed="false">
      <c r="A16" s="27" t="s">
        <v>479</v>
      </c>
      <c r="B16" s="27" t="s">
        <v>250</v>
      </c>
      <c r="C16" s="59" t="n">
        <f aca="false">Ore_por_UF!E19</f>
        <v>0</v>
      </c>
      <c r="D16" s="27" t="s">
        <v>480</v>
      </c>
    </row>
    <row r="17" customFormat="false" ht="15" hidden="false" customHeight="true" outlineLevel="0" collapsed="false">
      <c r="A17" s="27" t="s">
        <v>479</v>
      </c>
      <c r="B17" s="27" t="s">
        <v>273</v>
      </c>
      <c r="C17" s="59" t="n">
        <f aca="false">Ore_por_UF!E20</f>
        <v>0</v>
      </c>
      <c r="D17" s="27" t="s">
        <v>480</v>
      </c>
    </row>
    <row r="18" customFormat="false" ht="15" hidden="false" customHeight="true" outlineLevel="0" collapsed="false">
      <c r="A18" s="27" t="s">
        <v>479</v>
      </c>
      <c r="B18" s="27" t="s">
        <v>259</v>
      </c>
      <c r="C18" s="59" t="n">
        <f aca="false">Ore_por_UF!E21</f>
        <v>0</v>
      </c>
      <c r="D18" s="27" t="s">
        <v>480</v>
      </c>
    </row>
    <row r="19" customFormat="false" ht="15" hidden="false" customHeight="true" outlineLevel="0" collapsed="false">
      <c r="A19" s="27" t="s">
        <v>479</v>
      </c>
      <c r="B19" s="27" t="s">
        <v>150</v>
      </c>
      <c r="C19" s="59" t="n">
        <f aca="false">Ore_por_UF!E22</f>
        <v>0</v>
      </c>
      <c r="D19" s="27" t="s">
        <v>480</v>
      </c>
    </row>
    <row r="20" customFormat="false" ht="15" hidden="false" customHeight="true" outlineLevel="0" collapsed="false">
      <c r="A20" s="27" t="s">
        <v>479</v>
      </c>
      <c r="B20" s="27" t="s">
        <v>248</v>
      </c>
      <c r="C20" s="59" t="n">
        <f aca="false">Ore_por_UF!E23</f>
        <v>21.6142302114926</v>
      </c>
      <c r="D20" s="27" t="s">
        <v>480</v>
      </c>
    </row>
    <row r="21" customFormat="false" ht="15" hidden="false" customHeight="true" outlineLevel="0" collapsed="false">
      <c r="A21" s="27" t="s">
        <v>479</v>
      </c>
      <c r="B21" s="27" t="s">
        <v>219</v>
      </c>
      <c r="C21" s="59" t="n">
        <f aca="false">Ore_por_UF!E24</f>
        <v>0</v>
      </c>
      <c r="D21" s="27" t="s">
        <v>480</v>
      </c>
    </row>
    <row r="22" customFormat="false" ht="15" hidden="false" customHeight="true" outlineLevel="0" collapsed="false">
      <c r="A22" s="27" t="s">
        <v>479</v>
      </c>
      <c r="B22" s="27" t="s">
        <v>261</v>
      </c>
      <c r="C22" s="59" t="n">
        <f aca="false">Ore_por_UF!E25</f>
        <v>0</v>
      </c>
      <c r="D22" s="27" t="s">
        <v>480</v>
      </c>
    </row>
    <row r="23" customFormat="false" ht="15" hidden="false" customHeight="true" outlineLevel="0" collapsed="false">
      <c r="A23" s="27" t="s">
        <v>479</v>
      </c>
      <c r="B23" s="27" t="s">
        <v>280</v>
      </c>
      <c r="C23" s="59" t="n">
        <f aca="false">Ore_por_UF!E26</f>
        <v>0</v>
      </c>
      <c r="D23" s="27" t="s">
        <v>480</v>
      </c>
    </row>
    <row r="24" customFormat="false" ht="15" hidden="false" customHeight="true" outlineLevel="0" collapsed="false">
      <c r="A24" s="27" t="s">
        <v>479</v>
      </c>
      <c r="B24" s="27" t="s">
        <v>160</v>
      </c>
      <c r="C24" s="59" t="n">
        <f aca="false">Ore_por_UF!E27</f>
        <v>0</v>
      </c>
      <c r="D24" s="27" t="s">
        <v>480</v>
      </c>
    </row>
    <row r="25" customFormat="false" ht="15" hidden="false" customHeight="true" outlineLevel="0" collapsed="false">
      <c r="A25" s="27" t="s">
        <v>479</v>
      </c>
      <c r="B25" s="27" t="s">
        <v>164</v>
      </c>
      <c r="C25" s="59" t="n">
        <f aca="false">Ore_por_UF!E28</f>
        <v>0</v>
      </c>
      <c r="D25" s="27" t="s">
        <v>480</v>
      </c>
    </row>
    <row r="26" customFormat="false" ht="15" hidden="false" customHeight="true" outlineLevel="0" collapsed="false">
      <c r="A26" s="27" t="s">
        <v>479</v>
      </c>
      <c r="B26" s="27" t="s">
        <v>263</v>
      </c>
      <c r="C26" s="59" t="n">
        <f aca="false">Ore_por_UF!E29</f>
        <v>0</v>
      </c>
      <c r="D26" s="27" t="s">
        <v>480</v>
      </c>
    </row>
    <row r="27" customFormat="false" ht="15" hidden="false" customHeight="true" outlineLevel="0" collapsed="false">
      <c r="A27" s="27" t="s">
        <v>479</v>
      </c>
      <c r="B27" s="27" t="s">
        <v>221</v>
      </c>
      <c r="C27" s="59" t="n">
        <f aca="false">Ore_por_UF!E30</f>
        <v>0</v>
      </c>
      <c r="D27" s="27" t="s">
        <v>480</v>
      </c>
    </row>
    <row r="28" customFormat="false" ht="15" hidden="false" customHeight="true" outlineLevel="0" collapsed="false">
      <c r="A28" s="27" t="s">
        <v>479</v>
      </c>
      <c r="B28" s="27" t="s">
        <v>266</v>
      </c>
      <c r="C28" s="59" t="n">
        <f aca="false">Ore_por_UF!E31</f>
        <v>0</v>
      </c>
      <c r="D28" s="27" t="s">
        <v>480</v>
      </c>
    </row>
    <row r="29" customFormat="false" ht="15" hidden="false" customHeight="true" outlineLevel="0" collapsed="false">
      <c r="A29" s="27" t="s">
        <v>481</v>
      </c>
      <c r="B29" s="27" t="s">
        <v>230</v>
      </c>
      <c r="C29" s="59" t="n">
        <f aca="false">Ore_por_UF!E5</f>
        <v>0</v>
      </c>
      <c r="D29" s="27" t="s">
        <v>480</v>
      </c>
    </row>
    <row r="30" customFormat="false" ht="15" hidden="false" customHeight="true" outlineLevel="0" collapsed="false">
      <c r="A30" s="27" t="s">
        <v>481</v>
      </c>
      <c r="B30" s="27" t="s">
        <v>252</v>
      </c>
      <c r="C30" s="59" t="n">
        <f aca="false">Ore_por_UF!E6</f>
        <v>0</v>
      </c>
      <c r="D30" s="27" t="s">
        <v>480</v>
      </c>
    </row>
    <row r="31" customFormat="false" ht="15" hidden="false" customHeight="true" outlineLevel="0" collapsed="false">
      <c r="A31" s="27" t="s">
        <v>481</v>
      </c>
      <c r="B31" s="27" t="s">
        <v>282</v>
      </c>
      <c r="C31" s="59" t="n">
        <f aca="false">Ore_por_UF!E7</f>
        <v>0</v>
      </c>
      <c r="D31" s="27" t="s">
        <v>480</v>
      </c>
    </row>
    <row r="32" customFormat="false" ht="15" hidden="false" customHeight="true" outlineLevel="0" collapsed="false">
      <c r="A32" s="27" t="s">
        <v>481</v>
      </c>
      <c r="B32" s="27" t="s">
        <v>153</v>
      </c>
      <c r="C32" s="59" t="n">
        <f aca="false">Ore_por_UF!E8</f>
        <v>0</v>
      </c>
      <c r="D32" s="27" t="s">
        <v>480</v>
      </c>
    </row>
    <row r="33" customFormat="false" ht="15" hidden="false" customHeight="true" outlineLevel="0" collapsed="false">
      <c r="A33" s="27" t="s">
        <v>481</v>
      </c>
      <c r="B33" s="27" t="s">
        <v>206</v>
      </c>
      <c r="C33" s="59" t="n">
        <f aca="false">Ore_por_UF!E9</f>
        <v>0</v>
      </c>
      <c r="D33" s="27" t="s">
        <v>480</v>
      </c>
    </row>
    <row r="34" customFormat="false" ht="15" hidden="false" customHeight="true" outlineLevel="0" collapsed="false">
      <c r="A34" s="27" t="s">
        <v>481</v>
      </c>
      <c r="B34" s="27" t="s">
        <v>246</v>
      </c>
      <c r="C34" s="59" t="n">
        <f aca="false">Ore_por_UF!E10</f>
        <v>25.792</v>
      </c>
      <c r="D34" s="27" t="s">
        <v>480</v>
      </c>
    </row>
    <row r="35" customFormat="false" ht="15" hidden="false" customHeight="true" outlineLevel="0" collapsed="false">
      <c r="A35" s="27" t="s">
        <v>481</v>
      </c>
      <c r="B35" s="27" t="s">
        <v>271</v>
      </c>
      <c r="C35" s="59" t="n">
        <f aca="false">Ore_por_UF!E11</f>
        <v>0</v>
      </c>
      <c r="D35" s="27" t="s">
        <v>480</v>
      </c>
    </row>
    <row r="36" customFormat="false" ht="15" hidden="false" customHeight="true" outlineLevel="0" collapsed="false">
      <c r="A36" s="27" t="s">
        <v>481</v>
      </c>
      <c r="B36" s="27" t="s">
        <v>232</v>
      </c>
      <c r="C36" s="59" t="n">
        <f aca="false">Ore_por_UF!E12</f>
        <v>20.090437537092</v>
      </c>
      <c r="D36" s="27" t="s">
        <v>480</v>
      </c>
    </row>
    <row r="37" customFormat="false" ht="15" hidden="false" customHeight="true" outlineLevel="0" collapsed="false">
      <c r="A37" s="27" t="s">
        <v>481</v>
      </c>
      <c r="B37" s="27" t="s">
        <v>202</v>
      </c>
      <c r="C37" s="59" t="n">
        <f aca="false">Ore_por_UF!E13</f>
        <v>0</v>
      </c>
      <c r="D37" s="27" t="s">
        <v>480</v>
      </c>
    </row>
    <row r="38" customFormat="false" ht="15" hidden="false" customHeight="true" outlineLevel="0" collapsed="false">
      <c r="A38" s="27" t="s">
        <v>481</v>
      </c>
      <c r="B38" s="27" t="s">
        <v>255</v>
      </c>
      <c r="C38" s="59" t="n">
        <f aca="false">Ore_por_UF!E14</f>
        <v>0</v>
      </c>
      <c r="D38" s="27" t="s">
        <v>480</v>
      </c>
    </row>
    <row r="39" customFormat="false" ht="15" hidden="false" customHeight="true" outlineLevel="0" collapsed="false">
      <c r="A39" s="27" t="s">
        <v>481</v>
      </c>
      <c r="B39" s="27" t="s">
        <v>167</v>
      </c>
      <c r="C39" s="59" t="n">
        <f aca="false">Ore_por_UF!E15</f>
        <v>0</v>
      </c>
      <c r="D39" s="27" t="s">
        <v>480</v>
      </c>
    </row>
    <row r="40" customFormat="false" ht="15" hidden="false" customHeight="true" outlineLevel="0" collapsed="false">
      <c r="A40" s="27" t="s">
        <v>481</v>
      </c>
      <c r="B40" s="27" t="s">
        <v>242</v>
      </c>
      <c r="C40" s="59" t="n">
        <f aca="false">Ore_por_UF!E16</f>
        <v>0</v>
      </c>
      <c r="D40" s="27" t="s">
        <v>480</v>
      </c>
    </row>
    <row r="41" customFormat="false" ht="15" hidden="false" customHeight="true" outlineLevel="0" collapsed="false">
      <c r="A41" s="27" t="s">
        <v>481</v>
      </c>
      <c r="B41" s="27" t="s">
        <v>244</v>
      </c>
      <c r="C41" s="59" t="n">
        <f aca="false">Ore_por_UF!E17</f>
        <v>0</v>
      </c>
      <c r="D41" s="27" t="s">
        <v>480</v>
      </c>
    </row>
    <row r="42" customFormat="false" ht="15" hidden="false" customHeight="true" outlineLevel="0" collapsed="false">
      <c r="A42" s="27" t="s">
        <v>481</v>
      </c>
      <c r="B42" s="27" t="s">
        <v>257</v>
      </c>
      <c r="C42" s="59" t="n">
        <f aca="false">Ore_por_UF!E18</f>
        <v>26.4438867230236</v>
      </c>
      <c r="D42" s="27" t="s">
        <v>480</v>
      </c>
    </row>
    <row r="43" customFormat="false" ht="15" hidden="false" customHeight="true" outlineLevel="0" collapsed="false">
      <c r="A43" s="27" t="s">
        <v>481</v>
      </c>
      <c r="B43" s="27" t="s">
        <v>250</v>
      </c>
      <c r="C43" s="59" t="n">
        <f aca="false">Ore_por_UF!E19</f>
        <v>0</v>
      </c>
      <c r="D43" s="27" t="s">
        <v>480</v>
      </c>
    </row>
    <row r="44" customFormat="false" ht="15" hidden="false" customHeight="true" outlineLevel="0" collapsed="false">
      <c r="A44" s="27" t="s">
        <v>481</v>
      </c>
      <c r="B44" s="27" t="s">
        <v>273</v>
      </c>
      <c r="C44" s="59" t="n">
        <f aca="false">Ore_por_UF!E20</f>
        <v>0</v>
      </c>
      <c r="D44" s="27" t="s">
        <v>480</v>
      </c>
    </row>
    <row r="45" customFormat="false" ht="15" hidden="false" customHeight="true" outlineLevel="0" collapsed="false">
      <c r="A45" s="27" t="s">
        <v>481</v>
      </c>
      <c r="B45" s="27" t="s">
        <v>259</v>
      </c>
      <c r="C45" s="59" t="n">
        <f aca="false">Ore_por_UF!E21</f>
        <v>0</v>
      </c>
      <c r="D45" s="27" t="s">
        <v>480</v>
      </c>
    </row>
    <row r="46" customFormat="false" ht="15" hidden="false" customHeight="true" outlineLevel="0" collapsed="false">
      <c r="A46" s="27" t="s">
        <v>481</v>
      </c>
      <c r="B46" s="27" t="s">
        <v>150</v>
      </c>
      <c r="C46" s="59" t="n">
        <f aca="false">Ore_por_UF!E22</f>
        <v>0</v>
      </c>
      <c r="D46" s="27" t="s">
        <v>480</v>
      </c>
    </row>
    <row r="47" customFormat="false" ht="15" hidden="false" customHeight="true" outlineLevel="0" collapsed="false">
      <c r="A47" s="27" t="s">
        <v>481</v>
      </c>
      <c r="B47" s="27" t="s">
        <v>248</v>
      </c>
      <c r="C47" s="59" t="n">
        <f aca="false">Ore_por_UF!E23</f>
        <v>21.6142302114926</v>
      </c>
      <c r="D47" s="27" t="s">
        <v>480</v>
      </c>
    </row>
    <row r="48" customFormat="false" ht="15" hidden="false" customHeight="true" outlineLevel="0" collapsed="false">
      <c r="A48" s="27" t="s">
        <v>481</v>
      </c>
      <c r="B48" s="27" t="s">
        <v>219</v>
      </c>
      <c r="C48" s="59" t="n">
        <f aca="false">Ore_por_UF!E24</f>
        <v>0</v>
      </c>
      <c r="D48" s="27" t="s">
        <v>480</v>
      </c>
    </row>
    <row r="49" customFormat="false" ht="15" hidden="false" customHeight="true" outlineLevel="0" collapsed="false">
      <c r="A49" s="27" t="s">
        <v>481</v>
      </c>
      <c r="B49" s="27" t="s">
        <v>261</v>
      </c>
      <c r="C49" s="59" t="n">
        <f aca="false">Ore_por_UF!E25</f>
        <v>0</v>
      </c>
      <c r="D49" s="27" t="s">
        <v>480</v>
      </c>
    </row>
    <row r="50" customFormat="false" ht="15" hidden="false" customHeight="true" outlineLevel="0" collapsed="false">
      <c r="A50" s="27" t="s">
        <v>481</v>
      </c>
      <c r="B50" s="27" t="s">
        <v>280</v>
      </c>
      <c r="C50" s="59" t="n">
        <f aca="false">Ore_por_UF!E26</f>
        <v>0</v>
      </c>
      <c r="D50" s="27" t="s">
        <v>480</v>
      </c>
    </row>
    <row r="51" customFormat="false" ht="15" hidden="false" customHeight="true" outlineLevel="0" collapsed="false">
      <c r="A51" s="27" t="s">
        <v>481</v>
      </c>
      <c r="B51" s="27" t="s">
        <v>160</v>
      </c>
      <c r="C51" s="59" t="n">
        <f aca="false">Ore_por_UF!E27</f>
        <v>0</v>
      </c>
      <c r="D51" s="27" t="s">
        <v>480</v>
      </c>
    </row>
    <row r="52" customFormat="false" ht="15" hidden="false" customHeight="true" outlineLevel="0" collapsed="false">
      <c r="A52" s="27" t="s">
        <v>481</v>
      </c>
      <c r="B52" s="27" t="s">
        <v>164</v>
      </c>
      <c r="C52" s="59" t="n">
        <f aca="false">Ore_por_UF!E28</f>
        <v>0</v>
      </c>
      <c r="D52" s="27" t="s">
        <v>480</v>
      </c>
    </row>
    <row r="53" customFormat="false" ht="15" hidden="false" customHeight="true" outlineLevel="0" collapsed="false">
      <c r="A53" s="27" t="s">
        <v>481</v>
      </c>
      <c r="B53" s="27" t="s">
        <v>263</v>
      </c>
      <c r="C53" s="59" t="n">
        <f aca="false">Ore_por_UF!E29</f>
        <v>0</v>
      </c>
      <c r="D53" s="27" t="s">
        <v>480</v>
      </c>
    </row>
    <row r="54" customFormat="false" ht="15" hidden="false" customHeight="true" outlineLevel="0" collapsed="false">
      <c r="A54" s="27" t="s">
        <v>481</v>
      </c>
      <c r="B54" s="27" t="s">
        <v>221</v>
      </c>
      <c r="C54" s="59" t="n">
        <f aca="false">Ore_por_UF!E30</f>
        <v>0</v>
      </c>
      <c r="D54" s="27" t="s">
        <v>480</v>
      </c>
    </row>
    <row r="55" customFormat="false" ht="15" hidden="false" customHeight="true" outlineLevel="0" collapsed="false">
      <c r="A55" s="27" t="s">
        <v>481</v>
      </c>
      <c r="B55" s="27" t="s">
        <v>266</v>
      </c>
      <c r="C55" s="59" t="n">
        <f aca="false">Ore_por_UF!E31</f>
        <v>0</v>
      </c>
      <c r="D55" s="27" t="s">
        <v>480</v>
      </c>
    </row>
    <row r="56" customFormat="false" ht="15" hidden="false" customHeight="true" outlineLevel="0" collapsed="false">
      <c r="A56" s="27" t="s">
        <v>482</v>
      </c>
      <c r="B56" s="27" t="s">
        <v>230</v>
      </c>
      <c r="C56" s="59" t="n">
        <f aca="false">Ore_por_UF!E5</f>
        <v>0</v>
      </c>
      <c r="D56" s="27" t="s">
        <v>480</v>
      </c>
    </row>
    <row r="57" customFormat="false" ht="15" hidden="false" customHeight="true" outlineLevel="0" collapsed="false">
      <c r="A57" s="27" t="s">
        <v>482</v>
      </c>
      <c r="B57" s="27" t="s">
        <v>252</v>
      </c>
      <c r="C57" s="59" t="n">
        <f aca="false">Ore_por_UF!E6</f>
        <v>0</v>
      </c>
      <c r="D57" s="27" t="s">
        <v>480</v>
      </c>
    </row>
    <row r="58" customFormat="false" ht="15" hidden="false" customHeight="true" outlineLevel="0" collapsed="false">
      <c r="A58" s="27" t="s">
        <v>482</v>
      </c>
      <c r="B58" s="27" t="s">
        <v>282</v>
      </c>
      <c r="C58" s="59" t="n">
        <f aca="false">Ore_por_UF!E7</f>
        <v>0</v>
      </c>
      <c r="D58" s="27" t="s">
        <v>480</v>
      </c>
    </row>
    <row r="59" customFormat="false" ht="15" hidden="false" customHeight="true" outlineLevel="0" collapsed="false">
      <c r="A59" s="27" t="s">
        <v>482</v>
      </c>
      <c r="B59" s="27" t="s">
        <v>153</v>
      </c>
      <c r="C59" s="59" t="n">
        <f aca="false">Ore_por_UF!E8</f>
        <v>0</v>
      </c>
      <c r="D59" s="27" t="s">
        <v>480</v>
      </c>
    </row>
    <row r="60" customFormat="false" ht="15" hidden="false" customHeight="true" outlineLevel="0" collapsed="false">
      <c r="A60" s="27" t="s">
        <v>482</v>
      </c>
      <c r="B60" s="27" t="s">
        <v>206</v>
      </c>
      <c r="C60" s="59" t="n">
        <f aca="false">Ore_por_UF!E9</f>
        <v>0</v>
      </c>
      <c r="D60" s="27" t="s">
        <v>480</v>
      </c>
    </row>
    <row r="61" customFormat="false" ht="15" hidden="false" customHeight="true" outlineLevel="0" collapsed="false">
      <c r="A61" s="27" t="s">
        <v>482</v>
      </c>
      <c r="B61" s="27" t="s">
        <v>246</v>
      </c>
      <c r="C61" s="59" t="n">
        <f aca="false">Ore_por_UF!E10</f>
        <v>25.792</v>
      </c>
      <c r="D61" s="27" t="s">
        <v>480</v>
      </c>
    </row>
    <row r="62" customFormat="false" ht="15" hidden="false" customHeight="true" outlineLevel="0" collapsed="false">
      <c r="A62" s="27" t="s">
        <v>482</v>
      </c>
      <c r="B62" s="27" t="s">
        <v>271</v>
      </c>
      <c r="C62" s="59" t="n">
        <f aca="false">Ore_por_UF!E11</f>
        <v>0</v>
      </c>
      <c r="D62" s="27" t="s">
        <v>480</v>
      </c>
    </row>
    <row r="63" customFormat="false" ht="15" hidden="false" customHeight="true" outlineLevel="0" collapsed="false">
      <c r="A63" s="27" t="s">
        <v>482</v>
      </c>
      <c r="B63" s="27" t="s">
        <v>232</v>
      </c>
      <c r="C63" s="59" t="n">
        <f aca="false">Ore_por_UF!E12</f>
        <v>20.090437537092</v>
      </c>
      <c r="D63" s="27" t="s">
        <v>480</v>
      </c>
    </row>
    <row r="64" customFormat="false" ht="15" hidden="false" customHeight="true" outlineLevel="0" collapsed="false">
      <c r="A64" s="27" t="s">
        <v>482</v>
      </c>
      <c r="B64" s="27" t="s">
        <v>202</v>
      </c>
      <c r="C64" s="59" t="n">
        <f aca="false">Ore_por_UF!E13</f>
        <v>0</v>
      </c>
      <c r="D64" s="27" t="s">
        <v>480</v>
      </c>
    </row>
    <row r="65" customFormat="false" ht="15" hidden="false" customHeight="true" outlineLevel="0" collapsed="false">
      <c r="A65" s="27" t="s">
        <v>482</v>
      </c>
      <c r="B65" s="27" t="s">
        <v>255</v>
      </c>
      <c r="C65" s="59" t="n">
        <f aca="false">Ore_por_UF!E14</f>
        <v>0</v>
      </c>
      <c r="D65" s="27" t="s">
        <v>480</v>
      </c>
    </row>
    <row r="66" customFormat="false" ht="15" hidden="false" customHeight="true" outlineLevel="0" collapsed="false">
      <c r="A66" s="27" t="s">
        <v>482</v>
      </c>
      <c r="B66" s="27" t="s">
        <v>167</v>
      </c>
      <c r="C66" s="59" t="n">
        <f aca="false">Ore_por_UF!E15</f>
        <v>0</v>
      </c>
      <c r="D66" s="27" t="s">
        <v>480</v>
      </c>
    </row>
    <row r="67" customFormat="false" ht="15" hidden="false" customHeight="true" outlineLevel="0" collapsed="false">
      <c r="A67" s="27" t="s">
        <v>482</v>
      </c>
      <c r="B67" s="27" t="s">
        <v>242</v>
      </c>
      <c r="C67" s="59" t="n">
        <f aca="false">Ore_por_UF!E16</f>
        <v>0</v>
      </c>
      <c r="D67" s="27" t="s">
        <v>480</v>
      </c>
    </row>
    <row r="68" customFormat="false" ht="15" hidden="false" customHeight="true" outlineLevel="0" collapsed="false">
      <c r="A68" s="27" t="s">
        <v>482</v>
      </c>
      <c r="B68" s="27" t="s">
        <v>244</v>
      </c>
      <c r="C68" s="59" t="n">
        <f aca="false">Ore_por_UF!E17</f>
        <v>0</v>
      </c>
      <c r="D68" s="27" t="s">
        <v>480</v>
      </c>
    </row>
    <row r="69" customFormat="false" ht="15" hidden="false" customHeight="true" outlineLevel="0" collapsed="false">
      <c r="A69" s="27" t="s">
        <v>482</v>
      </c>
      <c r="B69" s="27" t="s">
        <v>257</v>
      </c>
      <c r="C69" s="59" t="n">
        <f aca="false">Ore_por_UF!E18</f>
        <v>26.4438867230236</v>
      </c>
      <c r="D69" s="27" t="s">
        <v>480</v>
      </c>
    </row>
    <row r="70" customFormat="false" ht="15" hidden="false" customHeight="true" outlineLevel="0" collapsed="false">
      <c r="A70" s="27" t="s">
        <v>482</v>
      </c>
      <c r="B70" s="27" t="s">
        <v>250</v>
      </c>
      <c r="C70" s="59" t="n">
        <f aca="false">Ore_por_UF!E19</f>
        <v>0</v>
      </c>
      <c r="D70" s="27" t="s">
        <v>480</v>
      </c>
    </row>
    <row r="71" customFormat="false" ht="15" hidden="false" customHeight="true" outlineLevel="0" collapsed="false">
      <c r="A71" s="27" t="s">
        <v>482</v>
      </c>
      <c r="B71" s="27" t="s">
        <v>273</v>
      </c>
      <c r="C71" s="59" t="n">
        <f aca="false">Ore_por_UF!E20</f>
        <v>0</v>
      </c>
      <c r="D71" s="27" t="s">
        <v>480</v>
      </c>
    </row>
    <row r="72" customFormat="false" ht="15" hidden="false" customHeight="true" outlineLevel="0" collapsed="false">
      <c r="A72" s="27" t="s">
        <v>482</v>
      </c>
      <c r="B72" s="27" t="s">
        <v>259</v>
      </c>
      <c r="C72" s="59" t="n">
        <f aca="false">Ore_por_UF!E21</f>
        <v>0</v>
      </c>
      <c r="D72" s="27" t="s">
        <v>480</v>
      </c>
    </row>
    <row r="73" customFormat="false" ht="15" hidden="false" customHeight="true" outlineLevel="0" collapsed="false">
      <c r="A73" s="27" t="s">
        <v>482</v>
      </c>
      <c r="B73" s="27" t="s">
        <v>150</v>
      </c>
      <c r="C73" s="59" t="n">
        <f aca="false">Ore_por_UF!E22</f>
        <v>0</v>
      </c>
      <c r="D73" s="27" t="s">
        <v>480</v>
      </c>
    </row>
    <row r="74" customFormat="false" ht="15" hidden="false" customHeight="true" outlineLevel="0" collapsed="false">
      <c r="A74" s="27" t="s">
        <v>482</v>
      </c>
      <c r="B74" s="27" t="s">
        <v>248</v>
      </c>
      <c r="C74" s="59" t="n">
        <f aca="false">Ore_por_UF!E23</f>
        <v>21.6142302114926</v>
      </c>
      <c r="D74" s="27" t="s">
        <v>480</v>
      </c>
    </row>
    <row r="75" customFormat="false" ht="15" hidden="false" customHeight="true" outlineLevel="0" collapsed="false">
      <c r="A75" s="27" t="s">
        <v>482</v>
      </c>
      <c r="B75" s="27" t="s">
        <v>219</v>
      </c>
      <c r="C75" s="59" t="n">
        <f aca="false">Ore_por_UF!E24</f>
        <v>0</v>
      </c>
      <c r="D75" s="27" t="s">
        <v>480</v>
      </c>
    </row>
    <row r="76" customFormat="false" ht="15" hidden="false" customHeight="true" outlineLevel="0" collapsed="false">
      <c r="A76" s="27" t="s">
        <v>482</v>
      </c>
      <c r="B76" s="27" t="s">
        <v>261</v>
      </c>
      <c r="C76" s="59" t="n">
        <f aca="false">Ore_por_UF!E25</f>
        <v>0</v>
      </c>
      <c r="D76" s="27" t="s">
        <v>480</v>
      </c>
    </row>
    <row r="77" customFormat="false" ht="15" hidden="false" customHeight="true" outlineLevel="0" collapsed="false">
      <c r="A77" s="27" t="s">
        <v>482</v>
      </c>
      <c r="B77" s="27" t="s">
        <v>280</v>
      </c>
      <c r="C77" s="59" t="n">
        <f aca="false">Ore_por_UF!E26</f>
        <v>0</v>
      </c>
      <c r="D77" s="27" t="s">
        <v>480</v>
      </c>
    </row>
    <row r="78" customFormat="false" ht="15" hidden="false" customHeight="true" outlineLevel="0" collapsed="false">
      <c r="A78" s="27" t="s">
        <v>482</v>
      </c>
      <c r="B78" s="27" t="s">
        <v>160</v>
      </c>
      <c r="C78" s="59" t="n">
        <f aca="false">Ore_por_UF!E27</f>
        <v>0</v>
      </c>
      <c r="D78" s="27" t="s">
        <v>480</v>
      </c>
    </row>
    <row r="79" customFormat="false" ht="15" hidden="false" customHeight="true" outlineLevel="0" collapsed="false">
      <c r="A79" s="27" t="s">
        <v>482</v>
      </c>
      <c r="B79" s="27" t="s">
        <v>164</v>
      </c>
      <c r="C79" s="59" t="n">
        <f aca="false">Ore_por_UF!E28</f>
        <v>0</v>
      </c>
      <c r="D79" s="27" t="s">
        <v>480</v>
      </c>
    </row>
    <row r="80" customFormat="false" ht="15" hidden="false" customHeight="true" outlineLevel="0" collapsed="false">
      <c r="A80" s="27" t="s">
        <v>482</v>
      </c>
      <c r="B80" s="27" t="s">
        <v>263</v>
      </c>
      <c r="C80" s="59" t="n">
        <f aca="false">Ore_por_UF!E29</f>
        <v>0</v>
      </c>
      <c r="D80" s="27" t="s">
        <v>480</v>
      </c>
    </row>
    <row r="81" customFormat="false" ht="15" hidden="false" customHeight="true" outlineLevel="0" collapsed="false">
      <c r="A81" s="27" t="s">
        <v>482</v>
      </c>
      <c r="B81" s="27" t="s">
        <v>221</v>
      </c>
      <c r="C81" s="59" t="n">
        <f aca="false">Ore_por_UF!E30</f>
        <v>0</v>
      </c>
      <c r="D81" s="27" t="s">
        <v>480</v>
      </c>
    </row>
    <row r="82" customFormat="false" ht="15" hidden="false" customHeight="true" outlineLevel="0" collapsed="false">
      <c r="A82" s="27" t="s">
        <v>482</v>
      </c>
      <c r="B82" s="27" t="s">
        <v>266</v>
      </c>
      <c r="C82" s="59" t="n">
        <f aca="false">Ore_por_UF!E31</f>
        <v>0</v>
      </c>
      <c r="D82" s="27" t="s">
        <v>480</v>
      </c>
    </row>
    <row r="83" customFormat="false" ht="15" hidden="false" customHeight="true" outlineLevel="0" collapsed="false">
      <c r="A83" s="27" t="s">
        <v>483</v>
      </c>
      <c r="B83" s="27" t="s">
        <v>230</v>
      </c>
      <c r="C83" s="59" t="n">
        <f aca="false">Ore_por_UF!E5</f>
        <v>0</v>
      </c>
      <c r="D83" s="27" t="s">
        <v>480</v>
      </c>
    </row>
    <row r="84" customFormat="false" ht="15" hidden="false" customHeight="true" outlineLevel="0" collapsed="false">
      <c r="A84" s="27" t="s">
        <v>483</v>
      </c>
      <c r="B84" s="27" t="s">
        <v>252</v>
      </c>
      <c r="C84" s="59" t="n">
        <f aca="false">Ore_por_UF!E6</f>
        <v>0</v>
      </c>
      <c r="D84" s="27" t="s">
        <v>480</v>
      </c>
    </row>
    <row r="85" customFormat="false" ht="15" hidden="false" customHeight="true" outlineLevel="0" collapsed="false">
      <c r="A85" s="27" t="s">
        <v>483</v>
      </c>
      <c r="B85" s="27" t="s">
        <v>282</v>
      </c>
      <c r="C85" s="59" t="n">
        <f aca="false">Ore_por_UF!E7</f>
        <v>0</v>
      </c>
      <c r="D85" s="27" t="s">
        <v>480</v>
      </c>
    </row>
    <row r="86" customFormat="false" ht="15" hidden="false" customHeight="true" outlineLevel="0" collapsed="false">
      <c r="A86" s="27" t="s">
        <v>483</v>
      </c>
      <c r="B86" s="27" t="s">
        <v>153</v>
      </c>
      <c r="C86" s="59" t="n">
        <f aca="false">Ore_por_UF!E8</f>
        <v>0</v>
      </c>
      <c r="D86" s="27" t="s">
        <v>480</v>
      </c>
    </row>
    <row r="87" customFormat="false" ht="15" hidden="false" customHeight="true" outlineLevel="0" collapsed="false">
      <c r="A87" s="27" t="s">
        <v>483</v>
      </c>
      <c r="B87" s="27" t="s">
        <v>206</v>
      </c>
      <c r="C87" s="59" t="n">
        <f aca="false">Ore_por_UF!E9</f>
        <v>0</v>
      </c>
      <c r="D87" s="27" t="s">
        <v>480</v>
      </c>
    </row>
    <row r="88" customFormat="false" ht="15" hidden="false" customHeight="true" outlineLevel="0" collapsed="false">
      <c r="A88" s="27" t="s">
        <v>483</v>
      </c>
      <c r="B88" s="27" t="s">
        <v>246</v>
      </c>
      <c r="C88" s="59" t="n">
        <f aca="false">Ore_por_UF!E10</f>
        <v>25.792</v>
      </c>
      <c r="D88" s="27" t="s">
        <v>480</v>
      </c>
    </row>
    <row r="89" customFormat="false" ht="15" hidden="false" customHeight="true" outlineLevel="0" collapsed="false">
      <c r="A89" s="27" t="s">
        <v>483</v>
      </c>
      <c r="B89" s="27" t="s">
        <v>271</v>
      </c>
      <c r="C89" s="59" t="n">
        <f aca="false">Ore_por_UF!E11</f>
        <v>0</v>
      </c>
      <c r="D89" s="27" t="s">
        <v>480</v>
      </c>
    </row>
    <row r="90" customFormat="false" ht="15" hidden="false" customHeight="true" outlineLevel="0" collapsed="false">
      <c r="A90" s="27" t="s">
        <v>483</v>
      </c>
      <c r="B90" s="27" t="s">
        <v>232</v>
      </c>
      <c r="C90" s="59" t="n">
        <f aca="false">Ore_por_UF!E12</f>
        <v>20.090437537092</v>
      </c>
      <c r="D90" s="27" t="s">
        <v>480</v>
      </c>
    </row>
    <row r="91" customFormat="false" ht="15" hidden="false" customHeight="true" outlineLevel="0" collapsed="false">
      <c r="A91" s="27" t="s">
        <v>483</v>
      </c>
      <c r="B91" s="27" t="s">
        <v>202</v>
      </c>
      <c r="C91" s="59" t="n">
        <f aca="false">Ore_por_UF!E13</f>
        <v>0</v>
      </c>
      <c r="D91" s="27" t="s">
        <v>480</v>
      </c>
    </row>
    <row r="92" customFormat="false" ht="15" hidden="false" customHeight="true" outlineLevel="0" collapsed="false">
      <c r="A92" s="27" t="s">
        <v>483</v>
      </c>
      <c r="B92" s="27" t="s">
        <v>255</v>
      </c>
      <c r="C92" s="59" t="n">
        <f aca="false">Ore_por_UF!E14</f>
        <v>0</v>
      </c>
      <c r="D92" s="27" t="s">
        <v>480</v>
      </c>
    </row>
    <row r="93" customFormat="false" ht="15" hidden="false" customHeight="true" outlineLevel="0" collapsed="false">
      <c r="A93" s="27" t="s">
        <v>483</v>
      </c>
      <c r="B93" s="27" t="s">
        <v>167</v>
      </c>
      <c r="C93" s="59" t="n">
        <f aca="false">Ore_por_UF!E15</f>
        <v>0</v>
      </c>
      <c r="D93" s="27" t="s">
        <v>480</v>
      </c>
    </row>
    <row r="94" customFormat="false" ht="15" hidden="false" customHeight="true" outlineLevel="0" collapsed="false">
      <c r="A94" s="27" t="s">
        <v>483</v>
      </c>
      <c r="B94" s="27" t="s">
        <v>242</v>
      </c>
      <c r="C94" s="59" t="n">
        <f aca="false">Ore_por_UF!E16</f>
        <v>0</v>
      </c>
      <c r="D94" s="27" t="s">
        <v>480</v>
      </c>
    </row>
    <row r="95" customFormat="false" ht="15" hidden="false" customHeight="true" outlineLevel="0" collapsed="false">
      <c r="A95" s="27" t="s">
        <v>483</v>
      </c>
      <c r="B95" s="27" t="s">
        <v>244</v>
      </c>
      <c r="C95" s="59" t="n">
        <f aca="false">Ore_por_UF!E17</f>
        <v>0</v>
      </c>
      <c r="D95" s="27" t="s">
        <v>480</v>
      </c>
    </row>
    <row r="96" customFormat="false" ht="15" hidden="false" customHeight="true" outlineLevel="0" collapsed="false">
      <c r="A96" s="27" t="s">
        <v>483</v>
      </c>
      <c r="B96" s="27" t="s">
        <v>257</v>
      </c>
      <c r="C96" s="59" t="n">
        <f aca="false">Ore_por_UF!E18</f>
        <v>26.4438867230236</v>
      </c>
      <c r="D96" s="27" t="s">
        <v>480</v>
      </c>
    </row>
    <row r="97" customFormat="false" ht="15" hidden="false" customHeight="true" outlineLevel="0" collapsed="false">
      <c r="A97" s="27" t="s">
        <v>483</v>
      </c>
      <c r="B97" s="27" t="s">
        <v>250</v>
      </c>
      <c r="C97" s="59" t="n">
        <f aca="false">Ore_por_UF!E19</f>
        <v>0</v>
      </c>
      <c r="D97" s="27" t="s">
        <v>480</v>
      </c>
    </row>
    <row r="98" customFormat="false" ht="15" hidden="false" customHeight="true" outlineLevel="0" collapsed="false">
      <c r="A98" s="27" t="s">
        <v>483</v>
      </c>
      <c r="B98" s="27" t="s">
        <v>273</v>
      </c>
      <c r="C98" s="59" t="n">
        <f aca="false">Ore_por_UF!E20</f>
        <v>0</v>
      </c>
      <c r="D98" s="27" t="s">
        <v>480</v>
      </c>
    </row>
    <row r="99" customFormat="false" ht="15" hidden="false" customHeight="true" outlineLevel="0" collapsed="false">
      <c r="A99" s="27" t="s">
        <v>483</v>
      </c>
      <c r="B99" s="27" t="s">
        <v>259</v>
      </c>
      <c r="C99" s="59" t="n">
        <f aca="false">Ore_por_UF!E21</f>
        <v>0</v>
      </c>
      <c r="D99" s="27" t="s">
        <v>480</v>
      </c>
    </row>
    <row r="100" customFormat="false" ht="15" hidden="false" customHeight="true" outlineLevel="0" collapsed="false">
      <c r="A100" s="27" t="s">
        <v>483</v>
      </c>
      <c r="B100" s="27" t="s">
        <v>150</v>
      </c>
      <c r="C100" s="59" t="n">
        <f aca="false">Ore_por_UF!E22</f>
        <v>0</v>
      </c>
      <c r="D100" s="27" t="s">
        <v>480</v>
      </c>
    </row>
    <row r="101" customFormat="false" ht="15" hidden="false" customHeight="true" outlineLevel="0" collapsed="false">
      <c r="A101" s="27" t="s">
        <v>483</v>
      </c>
      <c r="B101" s="27" t="s">
        <v>248</v>
      </c>
      <c r="C101" s="59" t="n">
        <f aca="false">Ore_por_UF!E23</f>
        <v>21.6142302114926</v>
      </c>
      <c r="D101" s="27" t="s">
        <v>480</v>
      </c>
    </row>
    <row r="102" customFormat="false" ht="15" hidden="false" customHeight="true" outlineLevel="0" collapsed="false">
      <c r="A102" s="27" t="s">
        <v>483</v>
      </c>
      <c r="B102" s="27" t="s">
        <v>219</v>
      </c>
      <c r="C102" s="59" t="n">
        <f aca="false">Ore_por_UF!E24</f>
        <v>0</v>
      </c>
      <c r="D102" s="27" t="s">
        <v>480</v>
      </c>
    </row>
    <row r="103" customFormat="false" ht="15" hidden="false" customHeight="true" outlineLevel="0" collapsed="false">
      <c r="A103" s="27" t="s">
        <v>483</v>
      </c>
      <c r="B103" s="27" t="s">
        <v>261</v>
      </c>
      <c r="C103" s="59" t="n">
        <f aca="false">Ore_por_UF!E25</f>
        <v>0</v>
      </c>
      <c r="D103" s="27" t="s">
        <v>480</v>
      </c>
    </row>
    <row r="104" customFormat="false" ht="15" hidden="false" customHeight="true" outlineLevel="0" collapsed="false">
      <c r="A104" s="27" t="s">
        <v>483</v>
      </c>
      <c r="B104" s="27" t="s">
        <v>280</v>
      </c>
      <c r="C104" s="59" t="n">
        <f aca="false">Ore_por_UF!E26</f>
        <v>0</v>
      </c>
      <c r="D104" s="27" t="s">
        <v>480</v>
      </c>
    </row>
    <row r="105" customFormat="false" ht="15" hidden="false" customHeight="true" outlineLevel="0" collapsed="false">
      <c r="A105" s="27" t="s">
        <v>483</v>
      </c>
      <c r="B105" s="27" t="s">
        <v>160</v>
      </c>
      <c r="C105" s="59" t="n">
        <f aca="false">Ore_por_UF!E27</f>
        <v>0</v>
      </c>
      <c r="D105" s="27" t="s">
        <v>480</v>
      </c>
    </row>
    <row r="106" customFormat="false" ht="15" hidden="false" customHeight="true" outlineLevel="0" collapsed="false">
      <c r="A106" s="27" t="s">
        <v>483</v>
      </c>
      <c r="B106" s="27" t="s">
        <v>164</v>
      </c>
      <c r="C106" s="59" t="n">
        <f aca="false">Ore_por_UF!E28</f>
        <v>0</v>
      </c>
      <c r="D106" s="27" t="s">
        <v>480</v>
      </c>
    </row>
    <row r="107" customFormat="false" ht="15" hidden="false" customHeight="true" outlineLevel="0" collapsed="false">
      <c r="A107" s="27" t="s">
        <v>483</v>
      </c>
      <c r="B107" s="27" t="s">
        <v>263</v>
      </c>
      <c r="C107" s="59" t="n">
        <f aca="false">Ore_por_UF!E29</f>
        <v>0</v>
      </c>
      <c r="D107" s="27" t="s">
        <v>480</v>
      </c>
    </row>
    <row r="108" customFormat="false" ht="15" hidden="false" customHeight="true" outlineLevel="0" collapsed="false">
      <c r="A108" s="27" t="s">
        <v>483</v>
      </c>
      <c r="B108" s="27" t="s">
        <v>221</v>
      </c>
      <c r="C108" s="59" t="n">
        <f aca="false">Ore_por_UF!E30</f>
        <v>0</v>
      </c>
      <c r="D108" s="27" t="s">
        <v>480</v>
      </c>
    </row>
    <row r="109" customFormat="false" ht="15" hidden="false" customHeight="true" outlineLevel="0" collapsed="false">
      <c r="A109" s="27" t="s">
        <v>483</v>
      </c>
      <c r="B109" s="27" t="s">
        <v>266</v>
      </c>
      <c r="C109" s="59" t="n">
        <f aca="false">Ore_por_UF!E31</f>
        <v>0</v>
      </c>
      <c r="D109" s="27" t="s">
        <v>480</v>
      </c>
    </row>
    <row r="110" customFormat="false" ht="15" hidden="false" customHeight="true" outlineLevel="0" collapsed="false">
      <c r="A110" s="27" t="s">
        <v>484</v>
      </c>
      <c r="B110" s="27" t="s">
        <v>230</v>
      </c>
      <c r="C110" s="59" t="n">
        <f aca="false">Ore_por_UF!G5</f>
        <v>0</v>
      </c>
      <c r="D110" s="27" t="s">
        <v>485</v>
      </c>
    </row>
    <row r="111" customFormat="false" ht="15" hidden="false" customHeight="true" outlineLevel="0" collapsed="false">
      <c r="A111" s="27" t="s">
        <v>484</v>
      </c>
      <c r="B111" s="27" t="s">
        <v>252</v>
      </c>
      <c r="C111" s="59" t="n">
        <f aca="false">Ore_por_UF!G6</f>
        <v>0</v>
      </c>
      <c r="D111" s="27" t="s">
        <v>485</v>
      </c>
    </row>
    <row r="112" customFormat="false" ht="15" hidden="false" customHeight="true" outlineLevel="0" collapsed="false">
      <c r="A112" s="27" t="s">
        <v>484</v>
      </c>
      <c r="B112" s="27" t="s">
        <v>282</v>
      </c>
      <c r="C112" s="59" t="n">
        <f aca="false">Ore_por_UF!G7</f>
        <v>0</v>
      </c>
      <c r="D112" s="27" t="s">
        <v>485</v>
      </c>
    </row>
    <row r="113" customFormat="false" ht="15" hidden="false" customHeight="true" outlineLevel="0" collapsed="false">
      <c r="A113" s="27" t="s">
        <v>484</v>
      </c>
      <c r="B113" s="27" t="s">
        <v>153</v>
      </c>
      <c r="C113" s="59" t="n">
        <f aca="false">Ore_por_UF!G8</f>
        <v>0</v>
      </c>
      <c r="D113" s="27" t="s">
        <v>485</v>
      </c>
    </row>
    <row r="114" customFormat="false" ht="15" hidden="false" customHeight="true" outlineLevel="0" collapsed="false">
      <c r="A114" s="27" t="s">
        <v>484</v>
      </c>
      <c r="B114" s="27" t="s">
        <v>206</v>
      </c>
      <c r="C114" s="59" t="n">
        <f aca="false">Ore_por_UF!G9</f>
        <v>0</v>
      </c>
      <c r="D114" s="27" t="s">
        <v>485</v>
      </c>
    </row>
    <row r="115" customFormat="false" ht="15" hidden="false" customHeight="true" outlineLevel="0" collapsed="false">
      <c r="A115" s="27" t="s">
        <v>484</v>
      </c>
      <c r="B115" s="27" t="s">
        <v>246</v>
      </c>
      <c r="C115" s="59" t="n">
        <f aca="false">Ore_por_UF!G10</f>
        <v>23.374</v>
      </c>
      <c r="D115" s="27" t="s">
        <v>485</v>
      </c>
    </row>
    <row r="116" customFormat="false" ht="15" hidden="false" customHeight="true" outlineLevel="0" collapsed="false">
      <c r="A116" s="27" t="s">
        <v>484</v>
      </c>
      <c r="B116" s="27" t="s">
        <v>271</v>
      </c>
      <c r="C116" s="59" t="n">
        <f aca="false">Ore_por_UF!G11</f>
        <v>0</v>
      </c>
      <c r="D116" s="27" t="s">
        <v>485</v>
      </c>
    </row>
    <row r="117" customFormat="false" ht="15" hidden="false" customHeight="true" outlineLevel="0" collapsed="false">
      <c r="A117" s="27" t="s">
        <v>484</v>
      </c>
      <c r="B117" s="27" t="s">
        <v>232</v>
      </c>
      <c r="C117" s="59" t="n">
        <f aca="false">Ore_por_UF!G12</f>
        <v>0</v>
      </c>
      <c r="D117" s="27" t="s">
        <v>485</v>
      </c>
    </row>
    <row r="118" customFormat="false" ht="15" hidden="false" customHeight="true" outlineLevel="0" collapsed="false">
      <c r="A118" s="27" t="s">
        <v>484</v>
      </c>
      <c r="B118" s="27" t="s">
        <v>202</v>
      </c>
      <c r="C118" s="59" t="n">
        <f aca="false">Ore_por_UF!G13</f>
        <v>0</v>
      </c>
      <c r="D118" s="27" t="s">
        <v>485</v>
      </c>
    </row>
    <row r="119" customFormat="false" ht="15" hidden="false" customHeight="true" outlineLevel="0" collapsed="false">
      <c r="A119" s="27" t="s">
        <v>484</v>
      </c>
      <c r="B119" s="27" t="s">
        <v>255</v>
      </c>
      <c r="C119" s="59" t="n">
        <f aca="false">Ore_por_UF!G14</f>
        <v>-24.3820802556066</v>
      </c>
      <c r="D119" s="27" t="s">
        <v>485</v>
      </c>
    </row>
    <row r="120" customFormat="false" ht="15" hidden="false" customHeight="true" outlineLevel="0" collapsed="false">
      <c r="A120" s="27" t="s">
        <v>484</v>
      </c>
      <c r="B120" s="27" t="s">
        <v>167</v>
      </c>
      <c r="C120" s="59" t="n">
        <f aca="false">Ore_por_UF!G15</f>
        <v>0</v>
      </c>
      <c r="D120" s="27" t="s">
        <v>485</v>
      </c>
    </row>
    <row r="121" customFormat="false" ht="15" hidden="false" customHeight="true" outlineLevel="0" collapsed="false">
      <c r="A121" s="27" t="s">
        <v>484</v>
      </c>
      <c r="B121" s="27" t="s">
        <v>242</v>
      </c>
      <c r="C121" s="59" t="n">
        <f aca="false">Ore_por_UF!G16</f>
        <v>0</v>
      </c>
      <c r="D121" s="27" t="s">
        <v>485</v>
      </c>
    </row>
    <row r="122" customFormat="false" ht="15" hidden="false" customHeight="true" outlineLevel="0" collapsed="false">
      <c r="A122" s="27" t="s">
        <v>484</v>
      </c>
      <c r="B122" s="27" t="s">
        <v>244</v>
      </c>
      <c r="C122" s="59" t="n">
        <f aca="false">Ore_por_UF!G17</f>
        <v>0</v>
      </c>
      <c r="D122" s="27" t="s">
        <v>485</v>
      </c>
    </row>
    <row r="123" customFormat="false" ht="15" hidden="false" customHeight="true" outlineLevel="0" collapsed="false">
      <c r="A123" s="27" t="s">
        <v>484</v>
      </c>
      <c r="B123" s="27" t="s">
        <v>257</v>
      </c>
      <c r="C123" s="59" t="n">
        <f aca="false">Ore_por_UF!G18</f>
        <v>0</v>
      </c>
      <c r="D123" s="27" t="s">
        <v>485</v>
      </c>
    </row>
    <row r="124" customFormat="false" ht="15" hidden="false" customHeight="true" outlineLevel="0" collapsed="false">
      <c r="A124" s="27" t="s">
        <v>484</v>
      </c>
      <c r="B124" s="27" t="s">
        <v>250</v>
      </c>
      <c r="C124" s="59" t="n">
        <f aca="false">Ore_por_UF!G19</f>
        <v>0</v>
      </c>
      <c r="D124" s="27" t="s">
        <v>485</v>
      </c>
    </row>
    <row r="125" customFormat="false" ht="15" hidden="false" customHeight="true" outlineLevel="0" collapsed="false">
      <c r="A125" s="27" t="s">
        <v>484</v>
      </c>
      <c r="B125" s="27" t="s">
        <v>273</v>
      </c>
      <c r="C125" s="59" t="n">
        <f aca="false">Ore_por_UF!G20</f>
        <v>0</v>
      </c>
      <c r="D125" s="27" t="s">
        <v>485</v>
      </c>
    </row>
    <row r="126" customFormat="false" ht="15" hidden="false" customHeight="true" outlineLevel="0" collapsed="false">
      <c r="A126" s="27" t="s">
        <v>484</v>
      </c>
      <c r="B126" s="27" t="s">
        <v>259</v>
      </c>
      <c r="C126" s="59" t="n">
        <f aca="false">Ore_por_UF!G21</f>
        <v>0</v>
      </c>
      <c r="D126" s="27" t="s">
        <v>485</v>
      </c>
    </row>
    <row r="127" customFormat="false" ht="15" hidden="false" customHeight="true" outlineLevel="0" collapsed="false">
      <c r="A127" s="27" t="s">
        <v>484</v>
      </c>
      <c r="B127" s="27" t="s">
        <v>150</v>
      </c>
      <c r="C127" s="59" t="n">
        <f aca="false">Ore_por_UF!G22</f>
        <v>0</v>
      </c>
      <c r="D127" s="27" t="s">
        <v>485</v>
      </c>
    </row>
    <row r="128" customFormat="false" ht="15" hidden="false" customHeight="true" outlineLevel="0" collapsed="false">
      <c r="A128" s="27" t="s">
        <v>484</v>
      </c>
      <c r="B128" s="27" t="s">
        <v>248</v>
      </c>
      <c r="C128" s="59" t="n">
        <f aca="false">Ore_por_UF!G23</f>
        <v>23.374</v>
      </c>
      <c r="D128" s="27" t="s">
        <v>485</v>
      </c>
    </row>
    <row r="129" customFormat="false" ht="15" hidden="false" customHeight="true" outlineLevel="0" collapsed="false">
      <c r="A129" s="27" t="s">
        <v>484</v>
      </c>
      <c r="B129" s="27" t="s">
        <v>219</v>
      </c>
      <c r="C129" s="59" t="n">
        <f aca="false">Ore_por_UF!G24</f>
        <v>0</v>
      </c>
      <c r="D129" s="27" t="s">
        <v>485</v>
      </c>
    </row>
    <row r="130" customFormat="false" ht="15" hidden="false" customHeight="true" outlineLevel="0" collapsed="false">
      <c r="A130" s="27" t="s">
        <v>484</v>
      </c>
      <c r="B130" s="27" t="s">
        <v>261</v>
      </c>
      <c r="C130" s="59" t="n">
        <f aca="false">Ore_por_UF!G25</f>
        <v>0</v>
      </c>
      <c r="D130" s="27" t="s">
        <v>485</v>
      </c>
    </row>
    <row r="131" customFormat="false" ht="15" hidden="false" customHeight="true" outlineLevel="0" collapsed="false">
      <c r="A131" s="27" t="s">
        <v>484</v>
      </c>
      <c r="B131" s="27" t="s">
        <v>280</v>
      </c>
      <c r="C131" s="59" t="n">
        <f aca="false">Ore_por_UF!G26</f>
        <v>0</v>
      </c>
      <c r="D131" s="27" t="s">
        <v>485</v>
      </c>
    </row>
    <row r="132" customFormat="false" ht="15" hidden="false" customHeight="true" outlineLevel="0" collapsed="false">
      <c r="A132" s="27" t="s">
        <v>484</v>
      </c>
      <c r="B132" s="27" t="s">
        <v>160</v>
      </c>
      <c r="C132" s="59" t="n">
        <f aca="false">Ore_por_UF!G27</f>
        <v>0</v>
      </c>
      <c r="D132" s="27" t="s">
        <v>485</v>
      </c>
    </row>
    <row r="133" customFormat="false" ht="15" hidden="false" customHeight="true" outlineLevel="0" collapsed="false">
      <c r="A133" s="27" t="s">
        <v>484</v>
      </c>
      <c r="B133" s="27" t="s">
        <v>164</v>
      </c>
      <c r="C133" s="59" t="n">
        <f aca="false">Ore_por_UF!G28</f>
        <v>0</v>
      </c>
      <c r="D133" s="27" t="s">
        <v>485</v>
      </c>
    </row>
    <row r="134" customFormat="false" ht="15" hidden="false" customHeight="true" outlineLevel="0" collapsed="false">
      <c r="A134" s="27" t="s">
        <v>484</v>
      </c>
      <c r="B134" s="27" t="s">
        <v>263</v>
      </c>
      <c r="C134" s="59" t="n">
        <f aca="false">Ore_por_UF!G29</f>
        <v>0</v>
      </c>
      <c r="D134" s="27" t="s">
        <v>485</v>
      </c>
    </row>
    <row r="135" customFormat="false" ht="15" hidden="false" customHeight="true" outlineLevel="0" collapsed="false">
      <c r="A135" s="27" t="s">
        <v>484</v>
      </c>
      <c r="B135" s="27" t="s">
        <v>221</v>
      </c>
      <c r="C135" s="59" t="n">
        <f aca="false">Ore_por_UF!G30</f>
        <v>0</v>
      </c>
      <c r="D135" s="27" t="s">
        <v>485</v>
      </c>
    </row>
    <row r="136" customFormat="false" ht="15" hidden="false" customHeight="true" outlineLevel="0" collapsed="false">
      <c r="A136" s="27" t="s">
        <v>484</v>
      </c>
      <c r="B136" s="27" t="s">
        <v>266</v>
      </c>
      <c r="C136" s="59" t="n">
        <f aca="false">Ore_por_UF!G31</f>
        <v>0</v>
      </c>
      <c r="D136" s="27" t="s">
        <v>485</v>
      </c>
    </row>
    <row r="137" customFormat="false" ht="15" hidden="false" customHeight="true" outlineLevel="0" collapsed="false">
      <c r="A137" s="27" t="s">
        <v>486</v>
      </c>
      <c r="B137" s="27" t="s">
        <v>230</v>
      </c>
      <c r="C137" s="59" t="n">
        <f aca="false">Ore_por_UF!G5</f>
        <v>0</v>
      </c>
      <c r="D137" s="27" t="s">
        <v>485</v>
      </c>
    </row>
    <row r="138" customFormat="false" ht="15" hidden="false" customHeight="true" outlineLevel="0" collapsed="false">
      <c r="A138" s="27" t="s">
        <v>486</v>
      </c>
      <c r="B138" s="27" t="s">
        <v>252</v>
      </c>
      <c r="C138" s="59" t="n">
        <f aca="false">Ore_por_UF!G6</f>
        <v>0</v>
      </c>
      <c r="D138" s="27" t="s">
        <v>485</v>
      </c>
    </row>
    <row r="139" customFormat="false" ht="15" hidden="false" customHeight="true" outlineLevel="0" collapsed="false">
      <c r="A139" s="27" t="s">
        <v>486</v>
      </c>
      <c r="B139" s="27" t="s">
        <v>282</v>
      </c>
      <c r="C139" s="59" t="n">
        <f aca="false">Ore_por_UF!G7</f>
        <v>0</v>
      </c>
      <c r="D139" s="27" t="s">
        <v>485</v>
      </c>
    </row>
    <row r="140" customFormat="false" ht="15" hidden="false" customHeight="true" outlineLevel="0" collapsed="false">
      <c r="A140" s="27" t="s">
        <v>486</v>
      </c>
      <c r="B140" s="27" t="s">
        <v>153</v>
      </c>
      <c r="C140" s="59" t="n">
        <f aca="false">Ore_por_UF!G8</f>
        <v>0</v>
      </c>
      <c r="D140" s="27" t="s">
        <v>485</v>
      </c>
    </row>
    <row r="141" customFormat="false" ht="15" hidden="false" customHeight="true" outlineLevel="0" collapsed="false">
      <c r="A141" s="27" t="s">
        <v>486</v>
      </c>
      <c r="B141" s="27" t="s">
        <v>206</v>
      </c>
      <c r="C141" s="59" t="n">
        <f aca="false">Ore_por_UF!G9</f>
        <v>0</v>
      </c>
      <c r="D141" s="27" t="s">
        <v>485</v>
      </c>
    </row>
    <row r="142" customFormat="false" ht="15" hidden="false" customHeight="true" outlineLevel="0" collapsed="false">
      <c r="A142" s="27" t="s">
        <v>486</v>
      </c>
      <c r="B142" s="27" t="s">
        <v>246</v>
      </c>
      <c r="C142" s="59" t="n">
        <f aca="false">Ore_por_UF!G10</f>
        <v>23.374</v>
      </c>
      <c r="D142" s="27" t="s">
        <v>485</v>
      </c>
    </row>
    <row r="143" customFormat="false" ht="15" hidden="false" customHeight="true" outlineLevel="0" collapsed="false">
      <c r="A143" s="27" t="s">
        <v>486</v>
      </c>
      <c r="B143" s="27" t="s">
        <v>271</v>
      </c>
      <c r="C143" s="59" t="n">
        <f aca="false">Ore_por_UF!G11</f>
        <v>0</v>
      </c>
      <c r="D143" s="27" t="s">
        <v>485</v>
      </c>
    </row>
    <row r="144" customFormat="false" ht="15" hidden="false" customHeight="true" outlineLevel="0" collapsed="false">
      <c r="A144" s="27" t="s">
        <v>486</v>
      </c>
      <c r="B144" s="27" t="s">
        <v>232</v>
      </c>
      <c r="C144" s="59" t="n">
        <f aca="false">Ore_por_UF!G12</f>
        <v>0</v>
      </c>
      <c r="D144" s="27" t="s">
        <v>485</v>
      </c>
    </row>
    <row r="145" customFormat="false" ht="15" hidden="false" customHeight="true" outlineLevel="0" collapsed="false">
      <c r="A145" s="27" t="s">
        <v>486</v>
      </c>
      <c r="B145" s="27" t="s">
        <v>202</v>
      </c>
      <c r="C145" s="59" t="n">
        <f aca="false">Ore_por_UF!G13</f>
        <v>0</v>
      </c>
      <c r="D145" s="27" t="s">
        <v>485</v>
      </c>
    </row>
    <row r="146" customFormat="false" ht="15" hidden="false" customHeight="true" outlineLevel="0" collapsed="false">
      <c r="A146" s="27" t="s">
        <v>486</v>
      </c>
      <c r="B146" s="27" t="s">
        <v>255</v>
      </c>
      <c r="C146" s="59" t="n">
        <f aca="false">Ore_por_UF!G14</f>
        <v>-24.3820802556066</v>
      </c>
      <c r="D146" s="27" t="s">
        <v>485</v>
      </c>
    </row>
    <row r="147" customFormat="false" ht="15" hidden="false" customHeight="true" outlineLevel="0" collapsed="false">
      <c r="A147" s="27" t="s">
        <v>486</v>
      </c>
      <c r="B147" s="27" t="s">
        <v>167</v>
      </c>
      <c r="C147" s="59" t="n">
        <f aca="false">Ore_por_UF!G15</f>
        <v>0</v>
      </c>
      <c r="D147" s="27" t="s">
        <v>485</v>
      </c>
    </row>
    <row r="148" customFormat="false" ht="15" hidden="false" customHeight="true" outlineLevel="0" collapsed="false">
      <c r="A148" s="27" t="s">
        <v>486</v>
      </c>
      <c r="B148" s="27" t="s">
        <v>242</v>
      </c>
      <c r="C148" s="59" t="n">
        <f aca="false">Ore_por_UF!G16</f>
        <v>0</v>
      </c>
      <c r="D148" s="27" t="s">
        <v>485</v>
      </c>
    </row>
    <row r="149" customFormat="false" ht="15" hidden="false" customHeight="true" outlineLevel="0" collapsed="false">
      <c r="A149" s="27" t="s">
        <v>486</v>
      </c>
      <c r="B149" s="27" t="s">
        <v>244</v>
      </c>
      <c r="C149" s="59" t="n">
        <f aca="false">Ore_por_UF!G17</f>
        <v>0</v>
      </c>
      <c r="D149" s="27" t="s">
        <v>485</v>
      </c>
    </row>
    <row r="150" customFormat="false" ht="15" hidden="false" customHeight="true" outlineLevel="0" collapsed="false">
      <c r="A150" s="27" t="s">
        <v>486</v>
      </c>
      <c r="B150" s="27" t="s">
        <v>257</v>
      </c>
      <c r="C150" s="59" t="n">
        <f aca="false">Ore_por_UF!G18</f>
        <v>0</v>
      </c>
      <c r="D150" s="27" t="s">
        <v>485</v>
      </c>
    </row>
    <row r="151" customFormat="false" ht="15" hidden="false" customHeight="true" outlineLevel="0" collapsed="false">
      <c r="A151" s="27" t="s">
        <v>486</v>
      </c>
      <c r="B151" s="27" t="s">
        <v>250</v>
      </c>
      <c r="C151" s="59" t="n">
        <f aca="false">Ore_por_UF!G19</f>
        <v>0</v>
      </c>
      <c r="D151" s="27" t="s">
        <v>485</v>
      </c>
    </row>
    <row r="152" customFormat="false" ht="15" hidden="false" customHeight="true" outlineLevel="0" collapsed="false">
      <c r="A152" s="27" t="s">
        <v>486</v>
      </c>
      <c r="B152" s="27" t="s">
        <v>273</v>
      </c>
      <c r="C152" s="59" t="n">
        <f aca="false">Ore_por_UF!G20</f>
        <v>0</v>
      </c>
      <c r="D152" s="27" t="s">
        <v>485</v>
      </c>
    </row>
    <row r="153" customFormat="false" ht="15" hidden="false" customHeight="true" outlineLevel="0" collapsed="false">
      <c r="A153" s="27" t="s">
        <v>486</v>
      </c>
      <c r="B153" s="27" t="s">
        <v>259</v>
      </c>
      <c r="C153" s="59" t="n">
        <f aca="false">Ore_por_UF!G21</f>
        <v>0</v>
      </c>
      <c r="D153" s="27" t="s">
        <v>485</v>
      </c>
    </row>
    <row r="154" customFormat="false" ht="15" hidden="false" customHeight="true" outlineLevel="0" collapsed="false">
      <c r="A154" s="27" t="s">
        <v>486</v>
      </c>
      <c r="B154" s="27" t="s">
        <v>150</v>
      </c>
      <c r="C154" s="59" t="n">
        <f aca="false">Ore_por_UF!G22</f>
        <v>0</v>
      </c>
      <c r="D154" s="27" t="s">
        <v>485</v>
      </c>
    </row>
    <row r="155" customFormat="false" ht="15" hidden="false" customHeight="true" outlineLevel="0" collapsed="false">
      <c r="A155" s="27" t="s">
        <v>486</v>
      </c>
      <c r="B155" s="27" t="s">
        <v>248</v>
      </c>
      <c r="C155" s="59" t="n">
        <f aca="false">Ore_por_UF!G23</f>
        <v>23.374</v>
      </c>
      <c r="D155" s="27" t="s">
        <v>485</v>
      </c>
    </row>
    <row r="156" customFormat="false" ht="15" hidden="false" customHeight="true" outlineLevel="0" collapsed="false">
      <c r="A156" s="27" t="s">
        <v>486</v>
      </c>
      <c r="B156" s="27" t="s">
        <v>219</v>
      </c>
      <c r="C156" s="59" t="n">
        <f aca="false">Ore_por_UF!G24</f>
        <v>0</v>
      </c>
      <c r="D156" s="27" t="s">
        <v>485</v>
      </c>
    </row>
    <row r="157" customFormat="false" ht="15" hidden="false" customHeight="true" outlineLevel="0" collapsed="false">
      <c r="A157" s="27" t="s">
        <v>486</v>
      </c>
      <c r="B157" s="27" t="s">
        <v>261</v>
      </c>
      <c r="C157" s="59" t="n">
        <f aca="false">Ore_por_UF!G25</f>
        <v>0</v>
      </c>
      <c r="D157" s="27" t="s">
        <v>485</v>
      </c>
    </row>
    <row r="158" customFormat="false" ht="15" hidden="false" customHeight="true" outlineLevel="0" collapsed="false">
      <c r="A158" s="27" t="s">
        <v>486</v>
      </c>
      <c r="B158" s="27" t="s">
        <v>280</v>
      </c>
      <c r="C158" s="59" t="n">
        <f aca="false">Ore_por_UF!G26</f>
        <v>0</v>
      </c>
      <c r="D158" s="27" t="s">
        <v>485</v>
      </c>
    </row>
    <row r="159" customFormat="false" ht="15" hidden="false" customHeight="true" outlineLevel="0" collapsed="false">
      <c r="A159" s="27" t="s">
        <v>486</v>
      </c>
      <c r="B159" s="27" t="s">
        <v>160</v>
      </c>
      <c r="C159" s="59" t="n">
        <f aca="false">Ore_por_UF!G27</f>
        <v>0</v>
      </c>
      <c r="D159" s="27" t="s">
        <v>485</v>
      </c>
    </row>
    <row r="160" customFormat="false" ht="15" hidden="false" customHeight="true" outlineLevel="0" collapsed="false">
      <c r="A160" s="27" t="s">
        <v>486</v>
      </c>
      <c r="B160" s="27" t="s">
        <v>164</v>
      </c>
      <c r="C160" s="59" t="n">
        <f aca="false">Ore_por_UF!G28</f>
        <v>0</v>
      </c>
      <c r="D160" s="27" t="s">
        <v>485</v>
      </c>
    </row>
    <row r="161" customFormat="false" ht="15" hidden="false" customHeight="true" outlineLevel="0" collapsed="false">
      <c r="A161" s="27" t="s">
        <v>486</v>
      </c>
      <c r="B161" s="27" t="s">
        <v>263</v>
      </c>
      <c r="C161" s="59" t="n">
        <f aca="false">Ore_por_UF!G29</f>
        <v>0</v>
      </c>
      <c r="D161" s="27" t="s">
        <v>485</v>
      </c>
    </row>
    <row r="162" customFormat="false" ht="15" hidden="false" customHeight="true" outlineLevel="0" collapsed="false">
      <c r="A162" s="27" t="s">
        <v>486</v>
      </c>
      <c r="B162" s="27" t="s">
        <v>221</v>
      </c>
      <c r="C162" s="59" t="n">
        <f aca="false">Ore_por_UF!G30</f>
        <v>0</v>
      </c>
      <c r="D162" s="27" t="s">
        <v>485</v>
      </c>
    </row>
    <row r="163" customFormat="false" ht="15" hidden="false" customHeight="true" outlineLevel="0" collapsed="false">
      <c r="A163" s="27" t="s">
        <v>486</v>
      </c>
      <c r="B163" s="27" t="s">
        <v>266</v>
      </c>
      <c r="C163" s="59" t="n">
        <f aca="false">Ore_por_UF!G31</f>
        <v>0</v>
      </c>
      <c r="D163" s="27" t="s">
        <v>485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8"/>
    <col collapsed="false" customWidth="true" hidden="false" outlineLevel="0" max="3" min="3" style="1" width="18"/>
    <col collapsed="false" customWidth="true" hidden="false" outlineLevel="0" max="4" min="4" style="1" width="95"/>
  </cols>
  <sheetData>
    <row r="1" customFormat="false" ht="14.25" hidden="false" customHeight="true" outlineLevel="0" collapsed="false">
      <c r="A1" s="10" t="s">
        <v>487</v>
      </c>
      <c r="B1" s="10" t="s">
        <v>475</v>
      </c>
      <c r="C1" s="10" t="s">
        <v>488</v>
      </c>
      <c r="D1" s="10" t="s">
        <v>477</v>
      </c>
      <c r="F1" s="64" t="s">
        <v>489</v>
      </c>
    </row>
    <row r="2" customFormat="false" ht="14.25" hidden="false" customHeight="true" outlineLevel="0" collapsed="false">
      <c r="A2" s="13" t="s">
        <v>490</v>
      </c>
      <c r="B2" s="13" t="s">
        <v>230</v>
      </c>
      <c r="C2" s="65" t="n">
        <f aca="false">EE_por_UF!J5</f>
        <v>24.4329757865793</v>
      </c>
      <c r="D2" s="66" t="str">
        <f aca="false">IF(EE_por_UF!K5="","ANEEL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3" customFormat="false" ht="14.25" hidden="false" customHeight="true" outlineLevel="0" collapsed="false">
      <c r="A3" s="13" t="s">
        <v>490</v>
      </c>
      <c r="B3" s="13" t="s">
        <v>252</v>
      </c>
      <c r="C3" s="65" t="n">
        <f aca="false">EE_por_UF!J6</f>
        <v>30.9291572477012</v>
      </c>
      <c r="D3" s="66" t="str">
        <f aca="false">IF(EE_por_UF!K6="","ANEEL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4" customFormat="false" ht="14.25" hidden="false" customHeight="true" outlineLevel="0" collapsed="false">
      <c r="A4" s="13" t="s">
        <v>490</v>
      </c>
      <c r="B4" s="13" t="s">
        <v>282</v>
      </c>
      <c r="C4" s="65" t="n">
        <f aca="false">EE_por_UF!J7</f>
        <v>36.8202204636699</v>
      </c>
      <c r="D4" s="66" t="str">
        <f aca="false">IF(EE_por_UF!K7="","ANEEL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5" customFormat="false" ht="14.25" hidden="false" customHeight="true" outlineLevel="0" collapsed="false">
      <c r="A5" s="13" t="s">
        <v>490</v>
      </c>
      <c r="B5" s="13" t="s">
        <v>153</v>
      </c>
      <c r="C5" s="65" t="n">
        <f aca="false">EE_por_UF!J8</f>
        <v>29.3594783486793</v>
      </c>
      <c r="D5" s="66" t="str">
        <f aca="false">IF(EE_por_UF!K8="","ANEEL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6" customFormat="false" ht="14.25" hidden="false" customHeight="true" outlineLevel="0" collapsed="false">
      <c r="A6" s="13" t="s">
        <v>490</v>
      </c>
      <c r="B6" s="13" t="s">
        <v>206</v>
      </c>
      <c r="C6" s="65" t="n">
        <f aca="false">EE_por_UF!J9</f>
        <v>28.2215702616974</v>
      </c>
      <c r="D6" s="66" t="str">
        <f aca="false">IF(EE_por_UF!K9="","ANEEL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7" customFormat="false" ht="14.25" hidden="false" customHeight="true" outlineLevel="0" collapsed="false">
      <c r="A7" s="13" t="s">
        <v>490</v>
      </c>
      <c r="B7" s="13" t="s">
        <v>246</v>
      </c>
      <c r="C7" s="65" t="n">
        <f aca="false">EE_por_UF!J10</f>
        <v>25.1203807525197</v>
      </c>
      <c r="D7" s="66" t="str">
        <f aca="false">IF(EE_por_UF!K10="","ANEEL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8" customFormat="false" ht="14.25" hidden="false" customHeight="true" outlineLevel="0" collapsed="false">
      <c r="A8" s="13" t="s">
        <v>490</v>
      </c>
      <c r="B8" s="13" t="s">
        <v>271</v>
      </c>
      <c r="C8" s="65" t="n">
        <f aca="false">EE_por_UF!J11</f>
        <v>34.2165201444296</v>
      </c>
      <c r="D8" s="66" t="str">
        <f aca="false">IF(EE_por_UF!K11="","ANEEL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9" customFormat="false" ht="14.25" hidden="false" customHeight="true" outlineLevel="0" collapsed="false">
      <c r="A9" s="13" t="s">
        <v>490</v>
      </c>
      <c r="B9" s="13" t="s">
        <v>232</v>
      </c>
      <c r="C9" s="65" t="n">
        <f aca="false">EE_por_UF!J12</f>
        <v>29.5088368172287</v>
      </c>
      <c r="D9" s="66" t="str">
        <f aca="false">IF(EE_por_UF!K12="","ANEEL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10" customFormat="false" ht="14.25" hidden="false" customHeight="true" outlineLevel="0" collapsed="false">
      <c r="A10" s="13" t="s">
        <v>490</v>
      </c>
      <c r="B10" s="13" t="s">
        <v>202</v>
      </c>
      <c r="C10" s="65" t="n">
        <f aca="false">EE_por_UF!J13</f>
        <v>26.4583411419414</v>
      </c>
      <c r="D10" s="66" t="str">
        <f aca="false">IF(EE_por_UF!K13="","ANEEL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11" customFormat="false" ht="14.25" hidden="false" customHeight="true" outlineLevel="0" collapsed="false">
      <c r="A11" s="13" t="s">
        <v>490</v>
      </c>
      <c r="B11" s="13" t="s">
        <v>255</v>
      </c>
      <c r="C11" s="65" t="n">
        <f aca="false">EE_por_UF!J14</f>
        <v>24.0210024640366</v>
      </c>
      <c r="D11" s="66" t="str">
        <f aca="false">IF(EE_por_UF!K14="","ANEEL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12" customFormat="false" ht="14.25" hidden="false" customHeight="true" outlineLevel="0" collapsed="false">
      <c r="A12" s="13" t="s">
        <v>490</v>
      </c>
      <c r="B12" s="13" t="s">
        <v>167</v>
      </c>
      <c r="C12" s="65" t="n">
        <f aca="false">EE_por_UF!J15</f>
        <v>30.4065731792247</v>
      </c>
      <c r="D12" s="66" t="str">
        <f aca="false">IF(EE_por_UF!K15="","ANEEL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13" customFormat="false" ht="14.25" hidden="false" customHeight="true" outlineLevel="0" collapsed="false">
      <c r="A13" s="13" t="s">
        <v>490</v>
      </c>
      <c r="B13" s="13" t="s">
        <v>242</v>
      </c>
      <c r="C13" s="65" t="n">
        <f aca="false">EE_por_UF!J16</f>
        <v>31.7313501779242</v>
      </c>
      <c r="D13" s="66" t="str">
        <f aca="false">IF(EE_por_UF!K16="","ANEEL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14" customFormat="false" ht="14.25" hidden="false" customHeight="true" outlineLevel="0" collapsed="false">
      <c r="A14" s="13" t="s">
        <v>490</v>
      </c>
      <c r="B14" s="13" t="s">
        <v>244</v>
      </c>
      <c r="C14" s="65" t="n">
        <f aca="false">EE_por_UF!J17</f>
        <v>33.0604591821954</v>
      </c>
      <c r="D14" s="66" t="str">
        <f aca="false">IF(EE_por_UF!K17="","ANEEL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15" customFormat="false" ht="14.25" hidden="false" customHeight="true" outlineLevel="0" collapsed="false">
      <c r="A15" s="13" t="s">
        <v>490</v>
      </c>
      <c r="B15" s="13" t="s">
        <v>257</v>
      </c>
      <c r="C15" s="65" t="n">
        <f aca="false">EE_por_UF!J18</f>
        <v>31.4367972207931</v>
      </c>
      <c r="D15" s="66" t="str">
        <f aca="false">IF(EE_por_UF!K18="","ANEEL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16" customFormat="false" ht="14.25" hidden="false" customHeight="true" outlineLevel="0" collapsed="false">
      <c r="A16" s="13" t="s">
        <v>490</v>
      </c>
      <c r="B16" s="13" t="s">
        <v>250</v>
      </c>
      <c r="C16" s="65" t="n">
        <f aca="false">EE_por_UF!J19</f>
        <v>21.6888824376833</v>
      </c>
      <c r="D16" s="66" t="str">
        <f aca="false">IF(EE_por_UF!K19="","ANEEL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17" customFormat="false" ht="14.25" hidden="false" customHeight="true" outlineLevel="0" collapsed="false">
      <c r="A17" s="13" t="s">
        <v>490</v>
      </c>
      <c r="B17" s="13" t="s">
        <v>273</v>
      </c>
      <c r="C17" s="65" t="n">
        <f aca="false">EE_por_UF!J20</f>
        <v>29.3812534486186</v>
      </c>
      <c r="D17" s="66" t="str">
        <f aca="false">IF(EE_por_UF!K20="","ANEEL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18" customFormat="false" ht="14.25" hidden="false" customHeight="true" outlineLevel="0" collapsed="false">
      <c r="A18" s="13" t="s">
        <v>490</v>
      </c>
      <c r="B18" s="13" t="s">
        <v>259</v>
      </c>
      <c r="C18" s="65" t="n">
        <f aca="false">EE_por_UF!J21</f>
        <v>25.5636363691761</v>
      </c>
      <c r="D18" s="66" t="str">
        <f aca="false">IF(EE_por_UF!K21="","ANEEL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19" customFormat="false" ht="14.25" hidden="false" customHeight="true" outlineLevel="0" collapsed="false">
      <c r="A19" s="13" t="s">
        <v>490</v>
      </c>
      <c r="B19" s="13" t="s">
        <v>150</v>
      </c>
      <c r="C19" s="65" t="n">
        <f aca="false">EE_por_UF!J22</f>
        <v>27.1067590760727</v>
      </c>
      <c r="D19" s="66" t="str">
        <f aca="false">IF(EE_por_UF!K22="","ANEEL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20" customFormat="false" ht="14.25" hidden="false" customHeight="true" outlineLevel="0" collapsed="false">
      <c r="A20" s="13" t="s">
        <v>490</v>
      </c>
      <c r="B20" s="13" t="s">
        <v>248</v>
      </c>
      <c r="C20" s="65" t="n">
        <f aca="false">EE_por_UF!J23</f>
        <v>34.2663499193806</v>
      </c>
      <c r="D20" s="66" t="str">
        <f aca="false">IF(EE_por_UF!K23="","ANEEL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21" customFormat="false" ht="14.25" hidden="false" customHeight="true" outlineLevel="0" collapsed="false">
      <c r="A21" s="13" t="s">
        <v>490</v>
      </c>
      <c r="B21" s="13" t="s">
        <v>219</v>
      </c>
      <c r="C21" s="65" t="n">
        <f aca="false">EE_por_UF!J24</f>
        <v>29.2073174167229</v>
      </c>
      <c r="D21" s="66" t="str">
        <f aca="false">IF(EE_por_UF!K24="","ANEEL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22" customFormat="false" ht="14.25" hidden="false" customHeight="true" outlineLevel="0" collapsed="false">
      <c r="A22" s="13" t="s">
        <v>490</v>
      </c>
      <c r="B22" s="13" t="s">
        <v>261</v>
      </c>
      <c r="C22" s="65" t="n">
        <f aca="false">EE_por_UF!J25</f>
        <v>24.9661373214108</v>
      </c>
      <c r="D22" s="66" t="str">
        <f aca="false">IF(EE_por_UF!K25="","ANEEL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23" customFormat="false" ht="14.25" hidden="false" customHeight="true" outlineLevel="0" collapsed="false">
      <c r="A23" s="13" t="s">
        <v>490</v>
      </c>
      <c r="B23" s="13" t="s">
        <v>280</v>
      </c>
      <c r="C23" s="65" t="n">
        <f aca="false">EE_por_UF!J26</f>
        <v>28.5241894661566</v>
      </c>
      <c r="D23" s="66" t="str">
        <f aca="false">IF(EE_por_UF!K26="","ANEEL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24" customFormat="false" ht="14.25" hidden="false" customHeight="true" outlineLevel="0" collapsed="false">
      <c r="A24" s="13" t="s">
        <v>490</v>
      </c>
      <c r="B24" s="13" t="s">
        <v>160</v>
      </c>
      <c r="C24" s="65" t="n">
        <f aca="false">EE_por_UF!J27</f>
        <v>27.7040076129375</v>
      </c>
      <c r="D24" s="66" t="str">
        <f aca="false">IF(EE_por_UF!K27="","ANEEL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25" customFormat="false" ht="14.25" hidden="false" customHeight="true" outlineLevel="0" collapsed="false">
      <c r="A25" s="13" t="s">
        <v>490</v>
      </c>
      <c r="B25" s="13" t="s">
        <v>164</v>
      </c>
      <c r="C25" s="65" t="n">
        <f aca="false">EE_por_UF!J28</f>
        <v>28.1191163950842</v>
      </c>
      <c r="D25" s="66" t="str">
        <f aca="false">IF(EE_por_UF!K28="","ANEEL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26" customFormat="false" ht="14.25" hidden="false" customHeight="true" outlineLevel="0" collapsed="false">
      <c r="A26" s="13" t="s">
        <v>490</v>
      </c>
      <c r="B26" s="13" t="s">
        <v>263</v>
      </c>
      <c r="C26" s="65" t="n">
        <f aca="false">EE_por_UF!J29</f>
        <v>24.1989894404938</v>
      </c>
      <c r="D26" s="66" t="str">
        <f aca="false">IF(EE_por_UF!K29="","ANEEL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27" customFormat="false" ht="14.25" hidden="false" customHeight="true" outlineLevel="0" collapsed="false">
      <c r="A27" s="13" t="s">
        <v>490</v>
      </c>
      <c r="B27" s="13" t="s">
        <v>221</v>
      </c>
      <c r="C27" s="65" t="n">
        <f aca="false">EE_por_UF!J30</f>
        <v>27.3986784100702</v>
      </c>
      <c r="D27" s="66" t="str">
        <f aca="false">IF(EE_por_UF!K30="","ANEEL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28" customFormat="false" ht="14.25" hidden="false" customHeight="true" outlineLevel="0" collapsed="false">
      <c r="A28" s="13" t="s">
        <v>490</v>
      </c>
      <c r="B28" s="13" t="s">
        <v>266</v>
      </c>
      <c r="C28" s="65" t="n">
        <f aca="false">EE_por_UF!J31</f>
        <v>26.4740683384743</v>
      </c>
      <c r="D28" s="66" t="str">
        <f aca="false">IF(EE_por_UF!K31="","ANEEL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29" customFormat="false" ht="14.25" hidden="false" customHeight="true" outlineLevel="0" collapsed="false">
      <c r="A29" s="13" t="s">
        <v>491</v>
      </c>
      <c r="B29" s="13" t="s">
        <v>230</v>
      </c>
      <c r="C29" s="65" t="n">
        <f aca="false">GN_por_UF!F5</f>
        <v>19.1255987219172</v>
      </c>
      <c r="D29" s="66" t="str">
        <f aca="false">IF(GN_por_UF!G5="","Boletim do Gas MME, industrial, metodo da razao (estrutura dez + nivel media anual), base PCI, ano-base "&amp;Premissas!$C$6,"UF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30" customFormat="false" ht="14.25" hidden="false" customHeight="true" outlineLevel="0" collapsed="false">
      <c r="A30" s="13" t="s">
        <v>491</v>
      </c>
      <c r="B30" s="13" t="s">
        <v>252</v>
      </c>
      <c r="C30" s="65" t="n">
        <f aca="false">GN_por_UF!F6</f>
        <v>18.0300990337883</v>
      </c>
      <c r="D30" s="66" t="str">
        <f aca="false">IF(GN_por_UF!G6="","Boletim do Gas MME, industrial, metodo da razao (estrutura dez + nivel media anual), base PCI, ano-base "&amp;Premissas!$C$6,"UF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31" customFormat="false" ht="14.25" hidden="false" customHeight="true" outlineLevel="0" collapsed="false">
      <c r="A31" s="13" t="s">
        <v>491</v>
      </c>
      <c r="B31" s="13" t="s">
        <v>282</v>
      </c>
      <c r="C31" s="65" t="n">
        <f aca="false">GN_por_UF!F7</f>
        <v>16.0901516693934</v>
      </c>
      <c r="D31" s="66" t="str">
        <f aca="false">IF(GN_por_UF!G7="","Boletim do Gas MME, industrial, metodo da razao (estrutura dez + nivel media anual), base PCI, ano-base "&amp;Premissas!$C$6,"UF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32" customFormat="false" ht="14.25" hidden="false" customHeight="true" outlineLevel="0" collapsed="false">
      <c r="A32" s="13" t="s">
        <v>491</v>
      </c>
      <c r="B32" s="13" t="s">
        <v>153</v>
      </c>
      <c r="C32" s="65" t="n">
        <f aca="false">GN_por_UF!F8</f>
        <v>19.1255987219172</v>
      </c>
      <c r="D32" s="66" t="str">
        <f aca="false">IF(GN_por_UF!G8="","Boletim do Gas MME, industrial, metodo da razao (estrutura dez + nivel media anual), base PCI, ano-base "&amp;Premissas!$C$6,"UF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33" customFormat="false" ht="14.25" hidden="false" customHeight="true" outlineLevel="0" collapsed="false">
      <c r="A33" s="13" t="s">
        <v>491</v>
      </c>
      <c r="B33" s="13" t="s">
        <v>206</v>
      </c>
      <c r="C33" s="65" t="n">
        <f aca="false">GN_por_UF!F9</f>
        <v>15.1772352626193</v>
      </c>
      <c r="D33" s="66" t="str">
        <f aca="false">IF(GN_por_UF!G9="","Boletim do Gas MME, industrial, metodo da razao (estrutura dez + nivel media anual), base PCI, ano-base "&amp;Premissas!$C$6,"UF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34" customFormat="false" ht="14.25" hidden="false" customHeight="true" outlineLevel="0" collapsed="false">
      <c r="A34" s="13" t="s">
        <v>491</v>
      </c>
      <c r="B34" s="13" t="s">
        <v>246</v>
      </c>
      <c r="C34" s="65" t="n">
        <f aca="false">GN_por_UF!F10</f>
        <v>21.3394210083444</v>
      </c>
      <c r="D34" s="66" t="str">
        <f aca="false">IF(GN_por_UF!G10="","Boletim do Gas MME, industrial, metodo da razao (estrutura dez + nivel media anual), base PCI, ano-base "&amp;Premissas!$C$6,"UF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35" customFormat="false" ht="14.25" hidden="false" customHeight="true" outlineLevel="0" collapsed="false">
      <c r="A35" s="13" t="s">
        <v>491</v>
      </c>
      <c r="B35" s="13" t="s">
        <v>271</v>
      </c>
      <c r="C35" s="65" t="n">
        <f aca="false">GN_por_UF!F11</f>
        <v>19.1255987219172</v>
      </c>
      <c r="D35" s="66" t="str">
        <f aca="false">IF(GN_por_UF!G11="","Boletim do Gas MME, industrial, metodo da razao (estrutura dez + nivel media anual), base PCI, ano-base "&amp;Premissas!$C$6,"UF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36" customFormat="false" ht="14.25" hidden="false" customHeight="true" outlineLevel="0" collapsed="false">
      <c r="A36" s="13" t="s">
        <v>491</v>
      </c>
      <c r="B36" s="13" t="s">
        <v>232</v>
      </c>
      <c r="C36" s="65" t="n">
        <f aca="false">GN_por_UF!F12</f>
        <v>18.9430154405624</v>
      </c>
      <c r="D36" s="66" t="str">
        <f aca="false">IF(GN_por_UF!G12="","Boletim do Gas MME, industrial, metodo da razao (estrutura dez + nivel media anual), base PCI, ano-base "&amp;Premissas!$C$6,"UF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37" customFormat="false" ht="14.25" hidden="false" customHeight="true" outlineLevel="0" collapsed="false">
      <c r="A37" s="13" t="s">
        <v>491</v>
      </c>
      <c r="B37" s="13" t="s">
        <v>202</v>
      </c>
      <c r="C37" s="65" t="n">
        <f aca="false">GN_por_UF!F13</f>
        <v>19.1255987219172</v>
      </c>
      <c r="D37" s="66" t="str">
        <f aca="false">IF(GN_por_UF!G13="","Boletim do Gas MME, industrial, metodo da razao (estrutura dez + nivel media anual), base PCI, ano-base "&amp;Premissas!$C$6,"UF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38" customFormat="false" ht="14.25" hidden="false" customHeight="true" outlineLevel="0" collapsed="false">
      <c r="A38" s="13" t="s">
        <v>491</v>
      </c>
      <c r="B38" s="13" t="s">
        <v>255</v>
      </c>
      <c r="C38" s="65" t="n">
        <f aca="false">GN_por_UF!F14</f>
        <v>19.1255987219172</v>
      </c>
      <c r="D38" s="66" t="str">
        <f aca="false">IF(GN_por_UF!G14="","Boletim do Gas MME, industrial, metodo da razao (estrutura dez + nivel media anual), base PCI, ano-base "&amp;Premissas!$C$6,"UF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39" customFormat="false" ht="14.25" hidden="false" customHeight="true" outlineLevel="0" collapsed="false">
      <c r="A39" s="13" t="s">
        <v>491</v>
      </c>
      <c r="B39" s="13" t="s">
        <v>167</v>
      </c>
      <c r="C39" s="65" t="n">
        <f aca="false">GN_por_UF!F15</f>
        <v>17.687755381248</v>
      </c>
      <c r="D39" s="66" t="str">
        <f aca="false">IF(GN_por_UF!G15="","Boletim do Gas MME, industrial, metodo da razao (estrutura dez + nivel media anual), base PCI, ano-base "&amp;Premissas!$C$6,"UF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40" customFormat="false" ht="14.25" hidden="false" customHeight="true" outlineLevel="0" collapsed="false">
      <c r="A40" s="13" t="s">
        <v>491</v>
      </c>
      <c r="B40" s="13" t="s">
        <v>242</v>
      </c>
      <c r="C40" s="65" t="n">
        <f aca="false">GN_por_UF!F16</f>
        <v>19.0571299914092</v>
      </c>
      <c r="D40" s="66" t="str">
        <f aca="false">IF(GN_por_UF!G16="","Boletim do Gas MME, industrial, metodo da razao (estrutura dez + nivel media anual), base PCI, ano-base "&amp;Premissas!$C$6,"UF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41" customFormat="false" ht="14.25" hidden="false" customHeight="true" outlineLevel="0" collapsed="false">
      <c r="A41" s="13" t="s">
        <v>491</v>
      </c>
      <c r="B41" s="13" t="s">
        <v>244</v>
      </c>
      <c r="C41" s="65" t="n">
        <f aca="false">GN_por_UF!F17</f>
        <v>19.1255987219172</v>
      </c>
      <c r="D41" s="66" t="str">
        <f aca="false">IF(GN_por_UF!G17="","Boletim do Gas MME, industrial, metodo da razao (estrutura dez + nivel media anual), base PCI, ano-base "&amp;Premissas!$C$6,"UF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42" customFormat="false" ht="14.25" hidden="false" customHeight="true" outlineLevel="0" collapsed="false">
      <c r="A42" s="13" t="s">
        <v>491</v>
      </c>
      <c r="B42" s="13" t="s">
        <v>257</v>
      </c>
      <c r="C42" s="65" t="n">
        <f aca="false">GN_por_UF!F18</f>
        <v>19.1255987219172</v>
      </c>
      <c r="D42" s="66" t="str">
        <f aca="false">IF(GN_por_UF!G18="","Boletim do Gas MME, industrial, metodo da razao (estrutura dez + nivel media anual), base PCI, ano-base "&amp;Premissas!$C$6,"UF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43" customFormat="false" ht="14.25" hidden="false" customHeight="true" outlineLevel="0" collapsed="false">
      <c r="A43" s="13" t="s">
        <v>491</v>
      </c>
      <c r="B43" s="13" t="s">
        <v>250</v>
      </c>
      <c r="C43" s="65" t="n">
        <f aca="false">GN_por_UF!F19</f>
        <v>20.08416094903</v>
      </c>
      <c r="D43" s="66" t="str">
        <f aca="false">IF(GN_por_UF!G19="","Boletim do Gas MME, industrial, metodo da razao (estrutura dez + nivel media anual), base PCI, ano-base "&amp;Premissas!$C$6,"UF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44" customFormat="false" ht="14.25" hidden="false" customHeight="true" outlineLevel="0" collapsed="false">
      <c r="A44" s="13" t="s">
        <v>491</v>
      </c>
      <c r="B44" s="13" t="s">
        <v>273</v>
      </c>
      <c r="C44" s="65" t="n">
        <f aca="false">GN_por_UF!F20</f>
        <v>18.8289008897156</v>
      </c>
      <c r="D44" s="66" t="str">
        <f aca="false">IF(GN_por_UF!G20="","Boletim do Gas MME, industrial, metodo da razao (estrutura dez + nivel media anual), base PCI, ano-base "&amp;Premissas!$C$6,"UF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45" customFormat="false" ht="14.25" hidden="false" customHeight="true" outlineLevel="0" collapsed="false">
      <c r="A45" s="13" t="s">
        <v>491</v>
      </c>
      <c r="B45" s="13" t="s">
        <v>259</v>
      </c>
      <c r="C45" s="65" t="n">
        <f aca="false">GN_por_UF!F21</f>
        <v>19.1255987219172</v>
      </c>
      <c r="D45" s="66" t="str">
        <f aca="false">IF(GN_por_UF!G21="","Boletim do Gas MME, industrial, metodo da razao (estrutura dez + nivel media anual), base PCI, ano-base "&amp;Premissas!$C$6,"UF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46" customFormat="false" ht="14.25" hidden="false" customHeight="true" outlineLevel="0" collapsed="false">
      <c r="A46" s="13" t="s">
        <v>491</v>
      </c>
      <c r="B46" s="13" t="s">
        <v>150</v>
      </c>
      <c r="C46" s="65" t="n">
        <f aca="false">GN_por_UF!F22</f>
        <v>19.2853590931027</v>
      </c>
      <c r="D46" s="66" t="str">
        <f aca="false">IF(GN_por_UF!G22="","Boletim do Gas MME, industrial, metodo da razao (estrutura dez + nivel media anual), base PCI, ano-base "&amp;Premissas!$C$6,"UF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47" customFormat="false" ht="14.25" hidden="false" customHeight="true" outlineLevel="0" collapsed="false">
      <c r="A47" s="13" t="s">
        <v>491</v>
      </c>
      <c r="B47" s="13" t="s">
        <v>248</v>
      </c>
      <c r="C47" s="65" t="n">
        <f aca="false">GN_por_UF!F23</f>
        <v>20.6547337032638</v>
      </c>
      <c r="D47" s="66" t="str">
        <f aca="false">IF(GN_por_UF!G23="","Boletim do Gas MME, industrial, metodo da razao (estrutura dez + nivel media anual), base PCI, ano-base "&amp;Premissas!$C$6,"UF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48" customFormat="false" ht="14.25" hidden="false" customHeight="true" outlineLevel="0" collapsed="false">
      <c r="A48" s="13" t="s">
        <v>491</v>
      </c>
      <c r="B48" s="13" t="s">
        <v>219</v>
      </c>
      <c r="C48" s="65" t="n">
        <f aca="false">GN_por_UF!F24</f>
        <v>20.1982754998768</v>
      </c>
      <c r="D48" s="66" t="str">
        <f aca="false">IF(GN_por_UF!G24="","Boletim do Gas MME, industrial, metodo da razao (estrutura dez + nivel media anual), base PCI, ano-base "&amp;Premissas!$C$6,"UF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49" customFormat="false" ht="14.25" hidden="false" customHeight="true" outlineLevel="0" collapsed="false">
      <c r="A49" s="13" t="s">
        <v>491</v>
      </c>
      <c r="B49" s="13" t="s">
        <v>261</v>
      </c>
      <c r="C49" s="65" t="n">
        <f aca="false">GN_por_UF!F25</f>
        <v>19.1255987219172</v>
      </c>
      <c r="D49" s="66" t="str">
        <f aca="false">IF(GN_por_UF!G25="","Boletim do Gas MME, industrial, metodo da razao (estrutura dez + nivel media anual), base PCI, ano-base "&amp;Premissas!$C$6,"UF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50" customFormat="false" ht="14.25" hidden="false" customHeight="true" outlineLevel="0" collapsed="false">
      <c r="A50" s="13" t="s">
        <v>491</v>
      </c>
      <c r="B50" s="13" t="s">
        <v>280</v>
      </c>
      <c r="C50" s="65" t="n">
        <f aca="false">GN_por_UF!F26</f>
        <v>19.1255987219172</v>
      </c>
      <c r="D50" s="66" t="str">
        <f aca="false">IF(GN_por_UF!G26="","Boletim do Gas MME, industrial, metodo da razao (estrutura dez + nivel media anual), base PCI, ano-base "&amp;Premissas!$C$6,"UF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51" customFormat="false" ht="14.25" hidden="false" customHeight="true" outlineLevel="0" collapsed="false">
      <c r="A51" s="13" t="s">
        <v>491</v>
      </c>
      <c r="B51" s="13" t="s">
        <v>160</v>
      </c>
      <c r="C51" s="65" t="n">
        <f aca="false">GN_por_UF!F27</f>
        <v>20.6547337032638</v>
      </c>
      <c r="D51" s="66" t="str">
        <f aca="false">IF(GN_por_UF!G27="","Boletim do Gas MME, industrial, metodo da razao (estrutura dez + nivel media anual), base PCI, ano-base "&amp;Premissas!$C$6,"UF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52" customFormat="false" ht="14.25" hidden="false" customHeight="true" outlineLevel="0" collapsed="false">
      <c r="A52" s="13" t="s">
        <v>491</v>
      </c>
      <c r="B52" s="13" t="s">
        <v>164</v>
      </c>
      <c r="C52" s="65" t="n">
        <f aca="false">GN_por_UF!F28</f>
        <v>19.1712445422559</v>
      </c>
      <c r="D52" s="66" t="str">
        <f aca="false">IF(GN_por_UF!G28="","Boletim do Gas MME, industrial, metodo da razao (estrutura dez + nivel media anual), base PCI, ano-base "&amp;Premissas!$C$6,"UF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53" customFormat="false" ht="14.25" hidden="false" customHeight="true" outlineLevel="0" collapsed="false">
      <c r="A53" s="13" t="s">
        <v>491</v>
      </c>
      <c r="B53" s="13" t="s">
        <v>263</v>
      </c>
      <c r="C53" s="65" t="n">
        <f aca="false">GN_por_UF!F29</f>
        <v>19.8559318473365</v>
      </c>
      <c r="D53" s="66" t="str">
        <f aca="false">IF(GN_por_UF!G29="","Boletim do Gas MME, industrial, metodo da razao (estrutura dez + nivel media anual), base PCI, ano-base "&amp;Premissas!$C$6,"UF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54" customFormat="false" ht="14.25" hidden="false" customHeight="true" outlineLevel="0" collapsed="false">
      <c r="A54" s="13" t="s">
        <v>491</v>
      </c>
      <c r="B54" s="13" t="s">
        <v>221</v>
      </c>
      <c r="C54" s="65" t="n">
        <f aca="false">GN_por_UF!F30</f>
        <v>19.3233972767183</v>
      </c>
      <c r="D54" s="66" t="str">
        <f aca="false">IF(GN_por_UF!G30="","Boletim do Gas MME, industrial, metodo da razao (estrutura dez + nivel media anual), base PCI, ano-base "&amp;Premissas!$C$6,"UF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55" customFormat="false" ht="14.25" hidden="false" customHeight="true" outlineLevel="0" collapsed="false">
      <c r="A55" s="13" t="s">
        <v>491</v>
      </c>
      <c r="B55" s="13" t="s">
        <v>266</v>
      </c>
      <c r="C55" s="65" t="n">
        <f aca="false">GN_por_UF!F31</f>
        <v>19.1255987219172</v>
      </c>
      <c r="D55" s="66" t="str">
        <f aca="false">IF(GN_por_UF!G31="","Boletim do Gas MME, industrial, metodo da razao (estrutura dez + nivel media anual), base PCI, ano-base "&amp;Premissas!$C$6,"UF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56" customFormat="false" ht="14.25" hidden="false" customHeight="true" outlineLevel="0" collapsed="false">
      <c r="A56" s="27" t="s">
        <v>492</v>
      </c>
      <c r="B56" s="27" t="s">
        <v>230</v>
      </c>
      <c r="C56" s="59" t="n">
        <f aca="false">CM_por_UF!D5</f>
        <v>6.39542632874815</v>
      </c>
      <c r="D56" s="27" t="s">
        <v>493</v>
      </c>
    </row>
    <row r="57" customFormat="false" ht="14.25" hidden="false" customHeight="true" outlineLevel="0" collapsed="false">
      <c r="A57" s="27" t="s">
        <v>492</v>
      </c>
      <c r="B57" s="27" t="s">
        <v>252</v>
      </c>
      <c r="C57" s="59" t="n">
        <f aca="false">CM_por_UF!D6</f>
        <v>6.39542632874815</v>
      </c>
      <c r="D57" s="27" t="s">
        <v>493</v>
      </c>
    </row>
    <row r="58" customFormat="false" ht="14.25" hidden="false" customHeight="true" outlineLevel="0" collapsed="false">
      <c r="A58" s="27" t="s">
        <v>492</v>
      </c>
      <c r="B58" s="27" t="s">
        <v>282</v>
      </c>
      <c r="C58" s="59" t="n">
        <f aca="false">CM_por_UF!D7</f>
        <v>6.39542632874815</v>
      </c>
      <c r="D58" s="27" t="s">
        <v>493</v>
      </c>
    </row>
    <row r="59" customFormat="false" ht="14.25" hidden="false" customHeight="true" outlineLevel="0" collapsed="false">
      <c r="A59" s="27" t="s">
        <v>492</v>
      </c>
      <c r="B59" s="27" t="s">
        <v>153</v>
      </c>
      <c r="C59" s="59" t="n">
        <f aca="false">CM_por_UF!D8</f>
        <v>6.39542632874815</v>
      </c>
      <c r="D59" s="27" t="s">
        <v>493</v>
      </c>
    </row>
    <row r="60" customFormat="false" ht="14.25" hidden="false" customHeight="true" outlineLevel="0" collapsed="false">
      <c r="A60" s="27" t="s">
        <v>492</v>
      </c>
      <c r="B60" s="27" t="s">
        <v>206</v>
      </c>
      <c r="C60" s="59" t="n">
        <f aca="false">CM_por_UF!D9</f>
        <v>6.39542632874815</v>
      </c>
      <c r="D60" s="27" t="s">
        <v>493</v>
      </c>
    </row>
    <row r="61" customFormat="false" ht="14.25" hidden="false" customHeight="true" outlineLevel="0" collapsed="false">
      <c r="A61" s="27" t="s">
        <v>492</v>
      </c>
      <c r="B61" s="27" t="s">
        <v>246</v>
      </c>
      <c r="C61" s="59" t="n">
        <f aca="false">CM_por_UF!D10</f>
        <v>6.39542632874815</v>
      </c>
      <c r="D61" s="27" t="s">
        <v>493</v>
      </c>
    </row>
    <row r="62" customFormat="false" ht="14.25" hidden="false" customHeight="true" outlineLevel="0" collapsed="false">
      <c r="A62" s="27" t="s">
        <v>492</v>
      </c>
      <c r="B62" s="27" t="s">
        <v>271</v>
      </c>
      <c r="C62" s="59" t="n">
        <f aca="false">CM_por_UF!D11</f>
        <v>6.39542632874815</v>
      </c>
      <c r="D62" s="27" t="s">
        <v>493</v>
      </c>
    </row>
    <row r="63" customFormat="false" ht="14.25" hidden="false" customHeight="true" outlineLevel="0" collapsed="false">
      <c r="A63" s="27" t="s">
        <v>492</v>
      </c>
      <c r="B63" s="27" t="s">
        <v>232</v>
      </c>
      <c r="C63" s="59" t="n">
        <f aca="false">CM_por_UF!D12</f>
        <v>6.39542632874815</v>
      </c>
      <c r="D63" s="27" t="s">
        <v>493</v>
      </c>
    </row>
    <row r="64" customFormat="false" ht="14.25" hidden="false" customHeight="true" outlineLevel="0" collapsed="false">
      <c r="A64" s="27" t="s">
        <v>492</v>
      </c>
      <c r="B64" s="27" t="s">
        <v>202</v>
      </c>
      <c r="C64" s="59" t="n">
        <f aca="false">CM_por_UF!D13</f>
        <v>6.39542632874815</v>
      </c>
      <c r="D64" s="27" t="s">
        <v>493</v>
      </c>
    </row>
    <row r="65" customFormat="false" ht="14.25" hidden="false" customHeight="true" outlineLevel="0" collapsed="false">
      <c r="A65" s="27" t="s">
        <v>492</v>
      </c>
      <c r="B65" s="27" t="s">
        <v>255</v>
      </c>
      <c r="C65" s="59" t="n">
        <f aca="false">CM_por_UF!D14</f>
        <v>6.39542632874815</v>
      </c>
      <c r="D65" s="27" t="s">
        <v>493</v>
      </c>
    </row>
    <row r="66" customFormat="false" ht="14.25" hidden="false" customHeight="true" outlineLevel="0" collapsed="false">
      <c r="A66" s="27" t="s">
        <v>492</v>
      </c>
      <c r="B66" s="27" t="s">
        <v>167</v>
      </c>
      <c r="C66" s="59" t="n">
        <f aca="false">CM_por_UF!D15</f>
        <v>7.03791023311825</v>
      </c>
      <c r="D66" s="27" t="s">
        <v>493</v>
      </c>
    </row>
    <row r="67" customFormat="false" ht="14.25" hidden="false" customHeight="true" outlineLevel="0" collapsed="false">
      <c r="A67" s="27" t="s">
        <v>492</v>
      </c>
      <c r="B67" s="27" t="s">
        <v>242</v>
      </c>
      <c r="C67" s="59" t="n">
        <f aca="false">CM_por_UF!D16</f>
        <v>6.39542632874815</v>
      </c>
      <c r="D67" s="27" t="s">
        <v>493</v>
      </c>
    </row>
    <row r="68" customFormat="false" ht="14.25" hidden="false" customHeight="true" outlineLevel="0" collapsed="false">
      <c r="A68" s="27" t="s">
        <v>492</v>
      </c>
      <c r="B68" s="27" t="s">
        <v>244</v>
      </c>
      <c r="C68" s="59" t="n">
        <f aca="false">CM_por_UF!D17</f>
        <v>6.39542632874815</v>
      </c>
      <c r="D68" s="27" t="s">
        <v>493</v>
      </c>
    </row>
    <row r="69" customFormat="false" ht="14.25" hidden="false" customHeight="true" outlineLevel="0" collapsed="false">
      <c r="A69" s="27" t="s">
        <v>492</v>
      </c>
      <c r="B69" s="27" t="s">
        <v>257</v>
      </c>
      <c r="C69" s="59" t="n">
        <f aca="false">CM_por_UF!D18</f>
        <v>6.39542632874815</v>
      </c>
      <c r="D69" s="27" t="s">
        <v>493</v>
      </c>
    </row>
    <row r="70" customFormat="false" ht="14.25" hidden="false" customHeight="true" outlineLevel="0" collapsed="false">
      <c r="A70" s="27" t="s">
        <v>492</v>
      </c>
      <c r="B70" s="27" t="s">
        <v>250</v>
      </c>
      <c r="C70" s="59" t="n">
        <f aca="false">CM_por_UF!D19</f>
        <v>6.39542632874815</v>
      </c>
      <c r="D70" s="27" t="s">
        <v>493</v>
      </c>
    </row>
    <row r="71" customFormat="false" ht="14.25" hidden="false" customHeight="true" outlineLevel="0" collapsed="false">
      <c r="A71" s="27" t="s">
        <v>492</v>
      </c>
      <c r="B71" s="27" t="s">
        <v>273</v>
      </c>
      <c r="C71" s="59" t="n">
        <f aca="false">CM_por_UF!D20</f>
        <v>6.39542632874815</v>
      </c>
      <c r="D71" s="27" t="s">
        <v>493</v>
      </c>
    </row>
    <row r="72" customFormat="false" ht="14.25" hidden="false" customHeight="true" outlineLevel="0" collapsed="false">
      <c r="A72" s="27" t="s">
        <v>492</v>
      </c>
      <c r="B72" s="27" t="s">
        <v>259</v>
      </c>
      <c r="C72" s="59" t="n">
        <f aca="false">CM_por_UF!D21</f>
        <v>6.39542632874815</v>
      </c>
      <c r="D72" s="27" t="s">
        <v>493</v>
      </c>
    </row>
    <row r="73" customFormat="false" ht="14.25" hidden="false" customHeight="true" outlineLevel="0" collapsed="false">
      <c r="A73" s="27" t="s">
        <v>492</v>
      </c>
      <c r="B73" s="27" t="s">
        <v>150</v>
      </c>
      <c r="C73" s="59" t="n">
        <f aca="false">CM_por_UF!D22</f>
        <v>6.39542632874815</v>
      </c>
      <c r="D73" s="27" t="s">
        <v>493</v>
      </c>
    </row>
    <row r="74" customFormat="false" ht="14.25" hidden="false" customHeight="true" outlineLevel="0" collapsed="false">
      <c r="A74" s="27" t="s">
        <v>492</v>
      </c>
      <c r="B74" s="27" t="s">
        <v>248</v>
      </c>
      <c r="C74" s="59" t="n">
        <f aca="false">CM_por_UF!D23</f>
        <v>6.49860669843277</v>
      </c>
      <c r="D74" s="27" t="s">
        <v>493</v>
      </c>
    </row>
    <row r="75" customFormat="false" ht="14.25" hidden="false" customHeight="true" outlineLevel="0" collapsed="false">
      <c r="A75" s="27" t="s">
        <v>492</v>
      </c>
      <c r="B75" s="27" t="s">
        <v>219</v>
      </c>
      <c r="C75" s="59" t="n">
        <f aca="false">CM_por_UF!D24</f>
        <v>6.39542632874815</v>
      </c>
      <c r="D75" s="27" t="s">
        <v>493</v>
      </c>
    </row>
    <row r="76" customFormat="false" ht="14.25" hidden="false" customHeight="true" outlineLevel="0" collapsed="false">
      <c r="A76" s="27" t="s">
        <v>492</v>
      </c>
      <c r="B76" s="27" t="s">
        <v>261</v>
      </c>
      <c r="C76" s="59" t="n">
        <f aca="false">CM_por_UF!D25</f>
        <v>6.39542632874815</v>
      </c>
      <c r="D76" s="27" t="s">
        <v>493</v>
      </c>
    </row>
    <row r="77" customFormat="false" ht="14.25" hidden="false" customHeight="true" outlineLevel="0" collapsed="false">
      <c r="A77" s="27" t="s">
        <v>492</v>
      </c>
      <c r="B77" s="27" t="s">
        <v>280</v>
      </c>
      <c r="C77" s="59" t="n">
        <f aca="false">CM_por_UF!D26</f>
        <v>6.39542632874815</v>
      </c>
      <c r="D77" s="27" t="s">
        <v>493</v>
      </c>
    </row>
    <row r="78" customFormat="false" ht="14.25" hidden="false" customHeight="true" outlineLevel="0" collapsed="false">
      <c r="A78" s="27" t="s">
        <v>492</v>
      </c>
      <c r="B78" s="27" t="s">
        <v>160</v>
      </c>
      <c r="C78" s="59" t="n">
        <f aca="false">CM_por_UF!D27</f>
        <v>6.39542632874815</v>
      </c>
      <c r="D78" s="27" t="s">
        <v>493</v>
      </c>
    </row>
    <row r="79" customFormat="false" ht="14.25" hidden="false" customHeight="true" outlineLevel="0" collapsed="false">
      <c r="A79" s="27" t="s">
        <v>492</v>
      </c>
      <c r="B79" s="27" t="s">
        <v>164</v>
      </c>
      <c r="C79" s="59" t="n">
        <f aca="false">CM_por_UF!D28</f>
        <v>6.39542632874815</v>
      </c>
      <c r="D79" s="27" t="s">
        <v>493</v>
      </c>
    </row>
    <row r="80" customFormat="false" ht="14.25" hidden="false" customHeight="true" outlineLevel="0" collapsed="false">
      <c r="A80" s="27" t="s">
        <v>492</v>
      </c>
      <c r="B80" s="27" t="s">
        <v>263</v>
      </c>
      <c r="C80" s="59" t="n">
        <f aca="false">CM_por_UF!D29</f>
        <v>6.39542632874815</v>
      </c>
      <c r="D80" s="27" t="s">
        <v>493</v>
      </c>
    </row>
    <row r="81" customFormat="false" ht="14.25" hidden="false" customHeight="true" outlineLevel="0" collapsed="false">
      <c r="A81" s="27" t="s">
        <v>492</v>
      </c>
      <c r="B81" s="27" t="s">
        <v>221</v>
      </c>
      <c r="C81" s="59" t="n">
        <f aca="false">CM_por_UF!D30</f>
        <v>6.39542632874815</v>
      </c>
      <c r="D81" s="27" t="s">
        <v>493</v>
      </c>
    </row>
    <row r="82" customFormat="false" ht="14.25" hidden="false" customHeight="true" outlineLevel="0" collapsed="false">
      <c r="A82" s="27" t="s">
        <v>492</v>
      </c>
      <c r="B82" s="27" t="s">
        <v>266</v>
      </c>
      <c r="C82" s="59" t="n">
        <f aca="false">CM_por_UF!D31</f>
        <v>6.39542632874815</v>
      </c>
      <c r="D82" s="27" t="s">
        <v>493</v>
      </c>
    </row>
    <row r="83" customFormat="false" ht="14.25" hidden="false" customHeight="true" outlineLevel="0" collapsed="false">
      <c r="A83" s="27" t="s">
        <v>494</v>
      </c>
      <c r="B83" s="27" t="s">
        <v>230</v>
      </c>
      <c r="C83" s="59" t="n">
        <f aca="false">Diesel_por_UF!D5</f>
        <v>26.5909465925967</v>
      </c>
      <c r="D83" s="27" t="s">
        <v>495</v>
      </c>
    </row>
    <row r="84" customFormat="false" ht="14.25" hidden="false" customHeight="true" outlineLevel="0" collapsed="false">
      <c r="A84" s="27" t="s">
        <v>494</v>
      </c>
      <c r="B84" s="27" t="s">
        <v>252</v>
      </c>
      <c r="C84" s="59" t="n">
        <f aca="false">Diesel_por_UF!D6</f>
        <v>21.9080358616138</v>
      </c>
      <c r="D84" s="27" t="s">
        <v>495</v>
      </c>
    </row>
    <row r="85" customFormat="false" ht="14.25" hidden="false" customHeight="true" outlineLevel="0" collapsed="false">
      <c r="A85" s="27" t="s">
        <v>494</v>
      </c>
      <c r="B85" s="27" t="s">
        <v>282</v>
      </c>
      <c r="C85" s="59" t="n">
        <f aca="false">Diesel_por_UF!D7</f>
        <v>22.8119465375942</v>
      </c>
      <c r="D85" s="27" t="s">
        <v>495</v>
      </c>
    </row>
    <row r="86" customFormat="false" ht="14.25" hidden="false" customHeight="true" outlineLevel="0" collapsed="false">
      <c r="A86" s="27" t="s">
        <v>494</v>
      </c>
      <c r="B86" s="27" t="s">
        <v>153</v>
      </c>
      <c r="C86" s="59" t="n">
        <f aca="false">Diesel_por_UF!D8</f>
        <v>23.4762664319894</v>
      </c>
      <c r="D86" s="27" t="s">
        <v>495</v>
      </c>
    </row>
    <row r="87" customFormat="false" ht="14.25" hidden="false" customHeight="true" outlineLevel="0" collapsed="false">
      <c r="A87" s="27" t="s">
        <v>494</v>
      </c>
      <c r="B87" s="27" t="s">
        <v>206</v>
      </c>
      <c r="C87" s="59" t="n">
        <f aca="false">Diesel_por_UF!D9</f>
        <v>21.5668005060228</v>
      </c>
      <c r="D87" s="27" t="s">
        <v>495</v>
      </c>
    </row>
    <row r="88" customFormat="false" ht="14.25" hidden="false" customHeight="true" outlineLevel="0" collapsed="false">
      <c r="A88" s="27" t="s">
        <v>494</v>
      </c>
      <c r="B88" s="27" t="s">
        <v>246</v>
      </c>
      <c r="C88" s="59" t="n">
        <f aca="false">Diesel_por_UF!D10</f>
        <v>22.4017380782135</v>
      </c>
      <c r="D88" s="27" t="s">
        <v>495</v>
      </c>
    </row>
    <row r="89" customFormat="false" ht="14.25" hidden="false" customHeight="true" outlineLevel="0" collapsed="false">
      <c r="A89" s="27" t="s">
        <v>494</v>
      </c>
      <c r="B89" s="27" t="s">
        <v>271</v>
      </c>
      <c r="C89" s="59" t="n">
        <f aca="false">Diesel_por_UF!D11</f>
        <v>21.1565920466421</v>
      </c>
      <c r="D89" s="27" t="s">
        <v>495</v>
      </c>
    </row>
    <row r="90" customFormat="false" ht="14.25" hidden="false" customHeight="true" outlineLevel="0" collapsed="false">
      <c r="A90" s="27" t="s">
        <v>494</v>
      </c>
      <c r="B90" s="27" t="s">
        <v>232</v>
      </c>
      <c r="C90" s="59" t="n">
        <f aca="false">Diesel_por_UF!D12</f>
        <v>21.3562510312964</v>
      </c>
      <c r="D90" s="27" t="s">
        <v>495</v>
      </c>
    </row>
    <row r="91" customFormat="false" ht="14.25" hidden="false" customHeight="true" outlineLevel="0" collapsed="false">
      <c r="A91" s="27" t="s">
        <v>494</v>
      </c>
      <c r="B91" s="27" t="s">
        <v>202</v>
      </c>
      <c r="C91" s="59" t="n">
        <f aca="false">Diesel_por_UF!D13</f>
        <v>21.1384412298553</v>
      </c>
      <c r="D91" s="27" t="s">
        <v>495</v>
      </c>
    </row>
    <row r="92" customFormat="false" ht="14.25" hidden="false" customHeight="true" outlineLevel="0" collapsed="false">
      <c r="A92" s="27" t="s">
        <v>494</v>
      </c>
      <c r="B92" s="27" t="s">
        <v>255</v>
      </c>
      <c r="C92" s="59" t="n">
        <f aca="false">Diesel_por_UF!D14</f>
        <v>21.0985094329245</v>
      </c>
      <c r="D92" s="27" t="s">
        <v>495</v>
      </c>
    </row>
    <row r="93" customFormat="false" ht="14.25" hidden="false" customHeight="true" outlineLevel="0" collapsed="false">
      <c r="A93" s="27" t="s">
        <v>494</v>
      </c>
      <c r="B93" s="27" t="s">
        <v>167</v>
      </c>
      <c r="C93" s="59" t="n">
        <f aca="false">Diesel_por_UF!D15</f>
        <v>20.9823442054892</v>
      </c>
      <c r="D93" s="27" t="s">
        <v>495</v>
      </c>
    </row>
    <row r="94" customFormat="false" ht="14.25" hidden="false" customHeight="true" outlineLevel="0" collapsed="false">
      <c r="A94" s="27" t="s">
        <v>494</v>
      </c>
      <c r="B94" s="27" t="s">
        <v>242</v>
      </c>
      <c r="C94" s="59" t="n">
        <f aca="false">Diesel_por_UF!D16</f>
        <v>21.5413893625213</v>
      </c>
      <c r="D94" s="27" t="s">
        <v>495</v>
      </c>
    </row>
    <row r="95" customFormat="false" ht="14.25" hidden="false" customHeight="true" outlineLevel="0" collapsed="false">
      <c r="A95" s="27" t="s">
        <v>494</v>
      </c>
      <c r="B95" s="27" t="s">
        <v>244</v>
      </c>
      <c r="C95" s="59" t="n">
        <f aca="false">Diesel_por_UF!D17</f>
        <v>21.9007755348991</v>
      </c>
      <c r="D95" s="27" t="s">
        <v>495</v>
      </c>
    </row>
    <row r="96" customFormat="false" ht="14.25" hidden="false" customHeight="true" outlineLevel="0" collapsed="false">
      <c r="A96" s="27" t="s">
        <v>494</v>
      </c>
      <c r="B96" s="27" t="s">
        <v>257</v>
      </c>
      <c r="C96" s="59" t="n">
        <f aca="false">Diesel_por_UF!D18</f>
        <v>23.0116055222485</v>
      </c>
      <c r="D96" s="27" t="s">
        <v>495</v>
      </c>
    </row>
    <row r="97" customFormat="false" ht="14.25" hidden="false" customHeight="true" outlineLevel="0" collapsed="false">
      <c r="A97" s="27" t="s">
        <v>494</v>
      </c>
      <c r="B97" s="27" t="s">
        <v>250</v>
      </c>
      <c r="C97" s="59" t="n">
        <f aca="false">Diesel_por_UF!D19</f>
        <v>21.0077553489907</v>
      </c>
      <c r="D97" s="27" t="s">
        <v>495</v>
      </c>
    </row>
    <row r="98" customFormat="false" ht="14.25" hidden="false" customHeight="true" outlineLevel="0" collapsed="false">
      <c r="A98" s="27" t="s">
        <v>494</v>
      </c>
      <c r="B98" s="27" t="s">
        <v>273</v>
      </c>
      <c r="C98" s="59" t="n">
        <f aca="false">Diesel_por_UF!D20</f>
        <v>21.9189263516858</v>
      </c>
      <c r="D98" s="27" t="s">
        <v>495</v>
      </c>
    </row>
    <row r="99" customFormat="false" ht="14.25" hidden="false" customHeight="true" outlineLevel="0" collapsed="false">
      <c r="A99" s="27" t="s">
        <v>494</v>
      </c>
      <c r="B99" s="27" t="s">
        <v>259</v>
      </c>
      <c r="C99" s="59" t="n">
        <f aca="false">Diesel_por_UF!D21</f>
        <v>21.414333645014</v>
      </c>
      <c r="D99" s="27" t="s">
        <v>495</v>
      </c>
    </row>
    <row r="100" customFormat="false" ht="14.25" hidden="false" customHeight="true" outlineLevel="0" collapsed="false">
      <c r="A100" s="27" t="s">
        <v>494</v>
      </c>
      <c r="B100" s="27" t="s">
        <v>150</v>
      </c>
      <c r="C100" s="59" t="n">
        <f aca="false">Diesel_por_UF!D22</f>
        <v>21.14570155657</v>
      </c>
      <c r="D100" s="27" t="s">
        <v>495</v>
      </c>
    </row>
    <row r="101" customFormat="false" ht="14.25" hidden="false" customHeight="true" outlineLevel="0" collapsed="false">
      <c r="A101" s="27" t="s">
        <v>494</v>
      </c>
      <c r="B101" s="27" t="s">
        <v>248</v>
      </c>
      <c r="C101" s="59" t="n">
        <f aca="false">Diesel_por_UF!D23</f>
        <v>21.5922116495242</v>
      </c>
      <c r="D101" s="27" t="s">
        <v>495</v>
      </c>
    </row>
    <row r="102" customFormat="false" ht="14.25" hidden="false" customHeight="true" outlineLevel="0" collapsed="false">
      <c r="A102" s="27" t="s">
        <v>494</v>
      </c>
      <c r="B102" s="27" t="s">
        <v>219</v>
      </c>
      <c r="C102" s="59" t="n">
        <f aca="false">Diesel_por_UF!D24</f>
        <v>21.9007755348991</v>
      </c>
      <c r="D102" s="27" t="s">
        <v>495</v>
      </c>
    </row>
    <row r="103" customFormat="false" ht="14.25" hidden="false" customHeight="true" outlineLevel="0" collapsed="false">
      <c r="A103" s="27" t="s">
        <v>494</v>
      </c>
      <c r="B103" s="27" t="s">
        <v>261</v>
      </c>
      <c r="C103" s="59" t="n">
        <f aca="false">Diesel_por_UF!D25</f>
        <v>23.6759254166438</v>
      </c>
      <c r="D103" s="27" t="s">
        <v>495</v>
      </c>
    </row>
    <row r="104" customFormat="false" ht="14.25" hidden="false" customHeight="true" outlineLevel="0" collapsed="false">
      <c r="A104" s="27" t="s">
        <v>494</v>
      </c>
      <c r="B104" s="27" t="s">
        <v>280</v>
      </c>
      <c r="C104" s="59" t="n">
        <f aca="false">Diesel_por_UF!D26</f>
        <v>23.8175017875804</v>
      </c>
      <c r="D104" s="27" t="s">
        <v>495</v>
      </c>
    </row>
    <row r="105" customFormat="false" ht="14.25" hidden="false" customHeight="true" outlineLevel="0" collapsed="false">
      <c r="A105" s="27" t="s">
        <v>494</v>
      </c>
      <c r="B105" s="27" t="s">
        <v>160</v>
      </c>
      <c r="C105" s="59" t="n">
        <f aca="false">Diesel_por_UF!D27</f>
        <v>21.6757054067433</v>
      </c>
      <c r="D105" s="27" t="s">
        <v>495</v>
      </c>
    </row>
    <row r="106" customFormat="false" ht="14.25" hidden="false" customHeight="true" outlineLevel="0" collapsed="false">
      <c r="A106" s="27" t="s">
        <v>494</v>
      </c>
      <c r="B106" s="27" t="s">
        <v>164</v>
      </c>
      <c r="C106" s="59" t="n">
        <f aca="false">Diesel_por_UF!D28</f>
        <v>21.5595401793081</v>
      </c>
      <c r="D106" s="27" t="s">
        <v>495</v>
      </c>
    </row>
    <row r="107" customFormat="false" ht="14.25" hidden="false" customHeight="true" outlineLevel="0" collapsed="false">
      <c r="A107" s="27" t="s">
        <v>494</v>
      </c>
      <c r="B107" s="27" t="s">
        <v>263</v>
      </c>
      <c r="C107" s="59" t="n">
        <f aca="false">Diesel_por_UF!D29</f>
        <v>20.5830262361806</v>
      </c>
      <c r="D107" s="27" t="s">
        <v>495</v>
      </c>
    </row>
    <row r="108" customFormat="false" ht="14.25" hidden="false" customHeight="true" outlineLevel="0" collapsed="false">
      <c r="A108" s="27" t="s">
        <v>494</v>
      </c>
      <c r="B108" s="27" t="s">
        <v>221</v>
      </c>
      <c r="C108" s="59" t="n">
        <f aca="false">Diesel_por_UF!D30</f>
        <v>21.486936912161</v>
      </c>
      <c r="D108" s="27" t="s">
        <v>495</v>
      </c>
    </row>
    <row r="109" customFormat="false" ht="14.25" hidden="false" customHeight="true" outlineLevel="0" collapsed="false">
      <c r="A109" s="27" t="s">
        <v>494</v>
      </c>
      <c r="B109" s="27" t="s">
        <v>266</v>
      </c>
      <c r="C109" s="59" t="n">
        <f aca="false">Diesel_por_UF!D31</f>
        <v>21.280017600792</v>
      </c>
      <c r="D109" s="27" t="s">
        <v>495</v>
      </c>
    </row>
    <row r="110" customFormat="false" ht="14.25" hidden="false" customHeight="true" outlineLevel="0" collapsed="false">
      <c r="A110" s="27" t="s">
        <v>496</v>
      </c>
      <c r="B110" s="27" t="s">
        <v>230</v>
      </c>
      <c r="C110" s="59" t="n">
        <f aca="false">H2_por_UF!D5</f>
        <v>37.2983362845511</v>
      </c>
      <c r="D110" s="27" t="s">
        <v>497</v>
      </c>
    </row>
    <row r="111" customFormat="false" ht="14.25" hidden="false" customHeight="true" outlineLevel="0" collapsed="false">
      <c r="A111" s="27" t="s">
        <v>496</v>
      </c>
      <c r="B111" s="27" t="s">
        <v>252</v>
      </c>
      <c r="C111" s="59" t="n">
        <f aca="false">H2_por_UF!D6</f>
        <v>44.1181866580276</v>
      </c>
      <c r="D111" s="27" t="s">
        <v>497</v>
      </c>
    </row>
    <row r="112" customFormat="false" ht="14.25" hidden="false" customHeight="true" outlineLevel="0" collapsed="false">
      <c r="A112" s="27" t="s">
        <v>496</v>
      </c>
      <c r="B112" s="27" t="s">
        <v>282</v>
      </c>
      <c r="C112" s="59" t="n">
        <f aca="false">H2_por_UF!D7</f>
        <v>50.3027690798768</v>
      </c>
      <c r="D112" s="27" t="s">
        <v>497</v>
      </c>
    </row>
    <row r="113" customFormat="false" ht="14.25" hidden="false" customHeight="true" outlineLevel="0" collapsed="false">
      <c r="A113" s="27" t="s">
        <v>496</v>
      </c>
      <c r="B113" s="27" t="s">
        <v>153</v>
      </c>
      <c r="C113" s="59" t="n">
        <f aca="false">H2_por_UF!D8</f>
        <v>42.4702993122385</v>
      </c>
      <c r="D113" s="27" t="s">
        <v>497</v>
      </c>
    </row>
    <row r="114" customFormat="false" ht="14.25" hidden="false" customHeight="true" outlineLevel="0" collapsed="false">
      <c r="A114" s="27" t="s">
        <v>496</v>
      </c>
      <c r="B114" s="27" t="s">
        <v>206</v>
      </c>
      <c r="C114" s="59" t="n">
        <f aca="false">H2_por_UF!D9</f>
        <v>41.2756955379397</v>
      </c>
      <c r="D114" s="27" t="s">
        <v>497</v>
      </c>
    </row>
    <row r="115" customFormat="false" ht="14.25" hidden="false" customHeight="true" outlineLevel="0" collapsed="false">
      <c r="A115" s="27" t="s">
        <v>496</v>
      </c>
      <c r="B115" s="27" t="s">
        <v>246</v>
      </c>
      <c r="C115" s="59" t="n">
        <f aca="false">H2_por_UF!D10</f>
        <v>38.0199908506612</v>
      </c>
      <c r="D115" s="27" t="s">
        <v>497</v>
      </c>
    </row>
    <row r="116" customFormat="false" ht="14.25" hidden="false" customHeight="true" outlineLevel="0" collapsed="false">
      <c r="A116" s="27" t="s">
        <v>496</v>
      </c>
      <c r="B116" s="27" t="s">
        <v>271</v>
      </c>
      <c r="C116" s="59" t="n">
        <f aca="false">H2_por_UF!D11</f>
        <v>47.5693407264876</v>
      </c>
      <c r="D116" s="27" t="s">
        <v>497</v>
      </c>
    </row>
    <row r="117" customFormat="false" ht="14.25" hidden="false" customHeight="true" outlineLevel="0" collapsed="false">
      <c r="A117" s="27" t="s">
        <v>496</v>
      </c>
      <c r="B117" s="27" t="s">
        <v>232</v>
      </c>
      <c r="C117" s="59" t="n">
        <f aca="false">H2_por_UF!D12</f>
        <v>42.6270994899451</v>
      </c>
      <c r="D117" s="27" t="s">
        <v>497</v>
      </c>
    </row>
    <row r="118" customFormat="false" ht="14.25" hidden="false" customHeight="true" outlineLevel="0" collapsed="false">
      <c r="A118" s="27" t="s">
        <v>496</v>
      </c>
      <c r="B118" s="27" t="s">
        <v>202</v>
      </c>
      <c r="C118" s="59" t="n">
        <f aca="false">H2_por_UF!D13</f>
        <v>39.4246144308526</v>
      </c>
      <c r="D118" s="27" t="s">
        <v>497</v>
      </c>
    </row>
    <row r="119" customFormat="false" ht="14.25" hidden="false" customHeight="true" outlineLevel="0" collapsed="false">
      <c r="A119" s="27" t="s">
        <v>496</v>
      </c>
      <c r="B119" s="27" t="s">
        <v>255</v>
      </c>
      <c r="C119" s="59" t="n">
        <f aca="false">H2_por_UF!D14</f>
        <v>36.8658366023271</v>
      </c>
      <c r="D119" s="27" t="s">
        <v>497</v>
      </c>
    </row>
    <row r="120" customFormat="false" ht="14.25" hidden="false" customHeight="true" outlineLevel="0" collapsed="false">
      <c r="A120" s="27" t="s">
        <v>496</v>
      </c>
      <c r="B120" s="27" t="s">
        <v>167</v>
      </c>
      <c r="C120" s="59" t="n">
        <f aca="false">H2_por_UF!D15</f>
        <v>43.5695651061356</v>
      </c>
      <c r="D120" s="27" t="s">
        <v>497</v>
      </c>
    </row>
    <row r="121" customFormat="false" ht="14.25" hidden="false" customHeight="true" outlineLevel="0" collapsed="false">
      <c r="A121" s="27" t="s">
        <v>496</v>
      </c>
      <c r="B121" s="27" t="s">
        <v>242</v>
      </c>
      <c r="C121" s="59" t="n">
        <f aca="false">H2_por_UF!D16</f>
        <v>44.9603484399178</v>
      </c>
      <c r="D121" s="27" t="s">
        <v>497</v>
      </c>
    </row>
    <row r="122" customFormat="false" ht="14.25" hidden="false" customHeight="true" outlineLevel="0" collapsed="false">
      <c r="A122" s="27" t="s">
        <v>496</v>
      </c>
      <c r="B122" s="27" t="s">
        <v>244</v>
      </c>
      <c r="C122" s="59" t="n">
        <f aca="false">H2_por_UF!D17</f>
        <v>46.3556796192296</v>
      </c>
      <c r="D122" s="27" t="s">
        <v>497</v>
      </c>
    </row>
    <row r="123" customFormat="false" ht="14.25" hidden="false" customHeight="true" outlineLevel="0" collapsed="false">
      <c r="A123" s="27" t="s">
        <v>496</v>
      </c>
      <c r="B123" s="27" t="s">
        <v>257</v>
      </c>
      <c r="C123" s="59" t="n">
        <f aca="false">H2_por_UF!D18</f>
        <v>44.6511195326404</v>
      </c>
      <c r="D123" s="27" t="s">
        <v>497</v>
      </c>
    </row>
    <row r="124" customFormat="false" ht="14.25" hidden="false" customHeight="true" outlineLevel="0" collapsed="false">
      <c r="A124" s="27" t="s">
        <v>496</v>
      </c>
      <c r="B124" s="27" t="s">
        <v>250</v>
      </c>
      <c r="C124" s="59" t="n">
        <f aca="false">H2_por_UF!D19</f>
        <v>34.4175198907476</v>
      </c>
      <c r="D124" s="27" t="s">
        <v>497</v>
      </c>
    </row>
    <row r="125" customFormat="false" ht="14.25" hidden="false" customHeight="true" outlineLevel="0" collapsed="false">
      <c r="A125" s="27" t="s">
        <v>496</v>
      </c>
      <c r="B125" s="27" t="s">
        <v>273</v>
      </c>
      <c r="C125" s="59" t="n">
        <f aca="false">H2_por_UF!D20</f>
        <v>42.4931593453736</v>
      </c>
      <c r="D125" s="27" t="s">
        <v>497</v>
      </c>
    </row>
    <row r="126" customFormat="false" ht="14.25" hidden="false" customHeight="true" outlineLevel="0" collapsed="false">
      <c r="A126" s="27" t="s">
        <v>496</v>
      </c>
      <c r="B126" s="27" t="s">
        <v>259</v>
      </c>
      <c r="C126" s="59" t="n">
        <f aca="false">H2_por_UF!D21</f>
        <v>38.4853314512727</v>
      </c>
      <c r="D126" s="27" t="s">
        <v>497</v>
      </c>
    </row>
    <row r="127" customFormat="false" ht="14.25" hidden="false" customHeight="true" outlineLevel="0" collapsed="false">
      <c r="A127" s="27" t="s">
        <v>496</v>
      </c>
      <c r="B127" s="27" t="s">
        <v>150</v>
      </c>
      <c r="C127" s="59" t="n">
        <f aca="false">H2_por_UF!D22</f>
        <v>40.1053394562724</v>
      </c>
      <c r="D127" s="27" t="s">
        <v>497</v>
      </c>
    </row>
    <row r="128" customFormat="false" ht="14.25" hidden="false" customHeight="true" outlineLevel="0" collapsed="false">
      <c r="A128" s="27" t="s">
        <v>496</v>
      </c>
      <c r="B128" s="27" t="s">
        <v>248</v>
      </c>
      <c r="C128" s="59" t="n">
        <f aca="false">H2_por_UF!D23</f>
        <v>47.6216532444405</v>
      </c>
      <c r="D128" s="27" t="s">
        <v>497</v>
      </c>
    </row>
    <row r="129" customFormat="false" ht="14.25" hidden="false" customHeight="true" outlineLevel="0" collapsed="false">
      <c r="A129" s="27" t="s">
        <v>496</v>
      </c>
      <c r="B129" s="27" t="s">
        <v>219</v>
      </c>
      <c r="C129" s="59" t="n">
        <f aca="false">H2_por_UF!D24</f>
        <v>42.3105570398216</v>
      </c>
      <c r="D129" s="27" t="s">
        <v>497</v>
      </c>
    </row>
    <row r="130" customFormat="false" ht="14.25" hidden="false" customHeight="true" outlineLevel="0" collapsed="false">
      <c r="A130" s="27" t="s">
        <v>496</v>
      </c>
      <c r="B130" s="27" t="s">
        <v>261</v>
      </c>
      <c r="C130" s="59" t="n">
        <f aca="false">H2_por_UF!D25</f>
        <v>37.8580623196388</v>
      </c>
      <c r="D130" s="27" t="s">
        <v>497</v>
      </c>
    </row>
    <row r="131" customFormat="false" ht="14.25" hidden="false" customHeight="true" outlineLevel="0" collapsed="false">
      <c r="A131" s="27" t="s">
        <v>496</v>
      </c>
      <c r="B131" s="27" t="s">
        <v>280</v>
      </c>
      <c r="C131" s="59" t="n">
        <f aca="false">H2_por_UF!D26</f>
        <v>41.593392589185</v>
      </c>
      <c r="D131" s="27" t="s">
        <v>497</v>
      </c>
    </row>
    <row r="132" customFormat="false" ht="14.25" hidden="false" customHeight="true" outlineLevel="0" collapsed="false">
      <c r="A132" s="27" t="s">
        <v>496</v>
      </c>
      <c r="B132" s="27" t="s">
        <v>160</v>
      </c>
      <c r="C132" s="59" t="n">
        <f aca="false">H2_por_UF!D27</f>
        <v>40.7323455954286</v>
      </c>
      <c r="D132" s="27" t="s">
        <v>497</v>
      </c>
    </row>
    <row r="133" customFormat="false" ht="14.25" hidden="false" customHeight="true" outlineLevel="0" collapsed="false">
      <c r="A133" s="27" t="s">
        <v>496</v>
      </c>
      <c r="B133" s="27" t="s">
        <v>164</v>
      </c>
      <c r="C133" s="59" t="n">
        <f aca="false">H2_por_UF!D28</f>
        <v>41.1681369599247</v>
      </c>
      <c r="D133" s="27" t="s">
        <v>497</v>
      </c>
    </row>
    <row r="134" customFormat="false" ht="14.25" hidden="false" customHeight="true" outlineLevel="0" collapsed="false">
      <c r="A134" s="27" t="s">
        <v>496</v>
      </c>
      <c r="B134" s="27" t="s">
        <v>263</v>
      </c>
      <c r="C134" s="59" t="n">
        <f aca="false">H2_por_UF!D29</f>
        <v>37.0526916886775</v>
      </c>
      <c r="D134" s="27" t="s">
        <v>497</v>
      </c>
    </row>
    <row r="135" customFormat="false" ht="14.25" hidden="false" customHeight="true" outlineLevel="0" collapsed="false">
      <c r="A135" s="27" t="s">
        <v>496</v>
      </c>
      <c r="B135" s="27" t="s">
        <v>221</v>
      </c>
      <c r="C135" s="59" t="n">
        <f aca="false">H2_por_UF!D30</f>
        <v>40.4118035214934</v>
      </c>
      <c r="D135" s="27" t="s">
        <v>497</v>
      </c>
    </row>
    <row r="136" customFormat="false" ht="14.25" hidden="false" customHeight="true" outlineLevel="0" collapsed="false">
      <c r="A136" s="27" t="s">
        <v>496</v>
      </c>
      <c r="B136" s="27" t="s">
        <v>266</v>
      </c>
      <c r="C136" s="59" t="n">
        <f aca="false">H2_por_UF!D31</f>
        <v>39.4411252268934</v>
      </c>
      <c r="D136" s="27" t="s">
        <v>497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2026-07-15T21:14:23Z</dcterms:created>
  <dc:creator>openpyxl</dc:creator>
  <dc:description/>
  <dc:language>en-US</dc:language>
  <cp:lastModifiedBy>Bruna Guimaraes</cp:lastModifiedBy>
  <dcterms:modified xsi:type="dcterms:W3CDTF">2026-07-20T13:40:26Z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