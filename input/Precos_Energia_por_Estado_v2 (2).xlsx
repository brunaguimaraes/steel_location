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steel_location_model/steel_location/input/"/>
    </mc:Choice>
  </mc:AlternateContent>
  <xr:revisionPtr revIDLastSave="17" documentId="11_34E3917B832CE937251A914307FA1C6C6CCEB162" xr6:coauthVersionLast="47" xr6:coauthVersionMax="47" xr10:uidLastSave="{10049AE4-FB0E-4640-A741-08E4ACEE8A47}"/>
  <bookViews>
    <workbookView xWindow="-108" yWindow="-108" windowWidth="23256" windowHeight="12456" tabRatio="899" firstSheet="6" activeTab="11" xr2:uid="{00000000-000D-0000-FFFF-FFFF00000000}"/>
  </bookViews>
  <sheets>
    <sheet name="LEIA-ME" sheetId="1" r:id="rId1"/>
    <sheet name="Premissas" sheetId="2" r:id="rId2"/>
    <sheet name="EE_ANEEL" sheetId="3" r:id="rId3"/>
    <sheet name="EE_por_UF" sheetId="4" r:id="rId4"/>
    <sheet name="GN_Boletim" sheetId="5" r:id="rId5"/>
    <sheet name="GN_por_UF" sheetId="6" r:id="rId6"/>
    <sheet name="CM_Comex" sheetId="7" r:id="rId7"/>
    <sheet name="CM_Frete" sheetId="8" r:id="rId8"/>
    <sheet name="CM_por_UF" sheetId="9" r:id="rId9"/>
    <sheet name="Diesel_por_UF" sheetId="10" r:id="rId10"/>
    <sheet name="H2_por_UF" sheetId="11" r:id="rId11"/>
    <sheet name="Minerio_ANM" sheetId="12" r:id="rId12"/>
    <sheet name="Pelota_Comex" sheetId="13" r:id="rId13"/>
    <sheet name="Ore_Frete" sheetId="14" r:id="rId14"/>
    <sheet name="Ore_por_UF" sheetId="15" r:id="rId15"/>
    <sheet name="Ore_Cost_State" sheetId="16" r:id="rId16"/>
    <sheet name="Fuel_Prices_State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15" l="1"/>
  <c r="C136" i="16" s="1"/>
  <c r="D31" i="15"/>
  <c r="E31" i="15" s="1"/>
  <c r="G30" i="15"/>
  <c r="C135" i="16" s="1"/>
  <c r="D30" i="15"/>
  <c r="E30" i="15" s="1"/>
  <c r="G29" i="15"/>
  <c r="C134" i="16" s="1"/>
  <c r="D29" i="15"/>
  <c r="E29" i="15" s="1"/>
  <c r="G28" i="15"/>
  <c r="C160" i="16" s="1"/>
  <c r="D28" i="15"/>
  <c r="E28" i="15" s="1"/>
  <c r="G27" i="15"/>
  <c r="C159" i="16" s="1"/>
  <c r="D27" i="15"/>
  <c r="E27" i="15" s="1"/>
  <c r="G26" i="15"/>
  <c r="C158" i="16" s="1"/>
  <c r="E26" i="15"/>
  <c r="C104" i="16" s="1"/>
  <c r="D26" i="15"/>
  <c r="G25" i="15"/>
  <c r="C157" i="16" s="1"/>
  <c r="E25" i="15"/>
  <c r="C103" i="16" s="1"/>
  <c r="D25" i="15"/>
  <c r="G24" i="15"/>
  <c r="C156" i="16" s="1"/>
  <c r="E24" i="15"/>
  <c r="C48" i="16" s="1"/>
  <c r="D24" i="15"/>
  <c r="G23" i="15"/>
  <c r="C128" i="16" s="1"/>
  <c r="F23" i="15"/>
  <c r="G22" i="15"/>
  <c r="C127" i="16" s="1"/>
  <c r="E22" i="15"/>
  <c r="C46" i="16" s="1"/>
  <c r="D22" i="15"/>
  <c r="G21" i="15"/>
  <c r="C126" i="16" s="1"/>
  <c r="E21" i="15"/>
  <c r="C72" i="16" s="1"/>
  <c r="D21" i="15"/>
  <c r="G20" i="15"/>
  <c r="C152" i="16" s="1"/>
  <c r="E20" i="15"/>
  <c r="C71" i="16" s="1"/>
  <c r="D20" i="15"/>
  <c r="G19" i="15"/>
  <c r="C151" i="16" s="1"/>
  <c r="D19" i="15"/>
  <c r="E19" i="15" s="1"/>
  <c r="G18" i="15"/>
  <c r="C150" i="16" s="1"/>
  <c r="G17" i="15"/>
  <c r="C149" i="16" s="1"/>
  <c r="E17" i="15"/>
  <c r="C95" i="16" s="1"/>
  <c r="D17" i="15"/>
  <c r="G16" i="15"/>
  <c r="C148" i="16" s="1"/>
  <c r="E16" i="15"/>
  <c r="C40" i="16" s="1"/>
  <c r="D16" i="15"/>
  <c r="G15" i="15"/>
  <c r="C120" i="16" s="1"/>
  <c r="E15" i="15"/>
  <c r="C39" i="16" s="1"/>
  <c r="D15" i="15"/>
  <c r="E14" i="15"/>
  <c r="C38" i="16" s="1"/>
  <c r="D14" i="15"/>
  <c r="G13" i="15"/>
  <c r="C118" i="16" s="1"/>
  <c r="D13" i="15"/>
  <c r="E13" i="15" s="1"/>
  <c r="G12" i="15"/>
  <c r="C144" i="16" s="1"/>
  <c r="G11" i="15"/>
  <c r="C143" i="16" s="1"/>
  <c r="D11" i="15"/>
  <c r="E11" i="15" s="1"/>
  <c r="G10" i="15"/>
  <c r="C142" i="16" s="1"/>
  <c r="F10" i="15"/>
  <c r="B10" i="15"/>
  <c r="D10" i="15" s="1"/>
  <c r="E10" i="15" s="1"/>
  <c r="G9" i="15"/>
  <c r="C141" i="16" s="1"/>
  <c r="D9" i="15"/>
  <c r="E9" i="15" s="1"/>
  <c r="G8" i="15"/>
  <c r="C140" i="16" s="1"/>
  <c r="D8" i="15"/>
  <c r="E8" i="15" s="1"/>
  <c r="G7" i="15"/>
  <c r="C112" i="16" s="1"/>
  <c r="E7" i="15"/>
  <c r="C31" i="16" s="1"/>
  <c r="D7" i="15"/>
  <c r="G6" i="15"/>
  <c r="C111" i="16" s="1"/>
  <c r="D6" i="15"/>
  <c r="E6" i="15" s="1"/>
  <c r="G5" i="15"/>
  <c r="C110" i="16" s="1"/>
  <c r="E5" i="15"/>
  <c r="C56" i="16" s="1"/>
  <c r="D5" i="15"/>
  <c r="D14" i="14"/>
  <c r="D20" i="14" s="1"/>
  <c r="D13" i="14"/>
  <c r="D19" i="14" s="1"/>
  <c r="B8" i="14"/>
  <c r="D12" i="14" s="1"/>
  <c r="D18" i="14" s="1"/>
  <c r="D22" i="14" s="1"/>
  <c r="E13" i="13"/>
  <c r="E14" i="13" s="1"/>
  <c r="F14" i="15" s="1"/>
  <c r="G14" i="15" s="1"/>
  <c r="E12" i="13"/>
  <c r="E10" i="13"/>
  <c r="E9" i="13"/>
  <c r="E8" i="13"/>
  <c r="E7" i="13"/>
  <c r="E6" i="13"/>
  <c r="E5" i="13"/>
  <c r="E9" i="12"/>
  <c r="D9" i="12"/>
  <c r="E8" i="12"/>
  <c r="D8" i="12"/>
  <c r="D7" i="12"/>
  <c r="E7" i="12" s="1"/>
  <c r="D6" i="12"/>
  <c r="E6" i="12" s="1"/>
  <c r="E11" i="12" s="1"/>
  <c r="C18" i="15" s="1"/>
  <c r="D18" i="15" s="1"/>
  <c r="E18" i="15" s="1"/>
  <c r="E5" i="12"/>
  <c r="D5" i="12"/>
  <c r="B33" i="10"/>
  <c r="C31" i="10" s="1"/>
  <c r="D31" i="10" s="1"/>
  <c r="C109" i="17" s="1"/>
  <c r="C29" i="10"/>
  <c r="D29" i="10" s="1"/>
  <c r="C107" i="17" s="1"/>
  <c r="C28" i="10"/>
  <c r="D28" i="10" s="1"/>
  <c r="C106" i="17" s="1"/>
  <c r="C25" i="10"/>
  <c r="D25" i="10" s="1"/>
  <c r="C103" i="17" s="1"/>
  <c r="C24" i="10"/>
  <c r="D24" i="10" s="1"/>
  <c r="C102" i="17" s="1"/>
  <c r="D22" i="10"/>
  <c r="C100" i="17" s="1"/>
  <c r="C22" i="10"/>
  <c r="C21" i="10"/>
  <c r="D21" i="10" s="1"/>
  <c r="C99" i="17" s="1"/>
  <c r="C20" i="10"/>
  <c r="D20" i="10" s="1"/>
  <c r="C98" i="17" s="1"/>
  <c r="D18" i="10"/>
  <c r="C96" i="17" s="1"/>
  <c r="C18" i="10"/>
  <c r="C17" i="10"/>
  <c r="D17" i="10" s="1"/>
  <c r="C95" i="17" s="1"/>
  <c r="C16" i="10"/>
  <c r="D16" i="10" s="1"/>
  <c r="C94" i="17" s="1"/>
  <c r="D14" i="10"/>
  <c r="C92" i="17" s="1"/>
  <c r="C14" i="10"/>
  <c r="C13" i="10"/>
  <c r="D13" i="10" s="1"/>
  <c r="C91" i="17" s="1"/>
  <c r="C12" i="10"/>
  <c r="D12" i="10" s="1"/>
  <c r="C90" i="17" s="1"/>
  <c r="D10" i="10"/>
  <c r="C88" i="17" s="1"/>
  <c r="C10" i="10"/>
  <c r="C9" i="10"/>
  <c r="D9" i="10" s="1"/>
  <c r="C87" i="17" s="1"/>
  <c r="C8" i="10"/>
  <c r="D8" i="10" s="1"/>
  <c r="C86" i="17" s="1"/>
  <c r="D6" i="10"/>
  <c r="C84" i="17" s="1"/>
  <c r="C6" i="10"/>
  <c r="C5" i="10"/>
  <c r="D5" i="10" s="1"/>
  <c r="C83" i="17" s="1"/>
  <c r="C22" i="9"/>
  <c r="C18" i="9"/>
  <c r="D20" i="8"/>
  <c r="D15" i="8"/>
  <c r="D21" i="8" s="1"/>
  <c r="D14" i="8"/>
  <c r="D13" i="8"/>
  <c r="D22" i="8" s="1"/>
  <c r="D12" i="8"/>
  <c r="D19" i="8" s="1"/>
  <c r="D9" i="7"/>
  <c r="C20" i="9" s="1"/>
  <c r="F7" i="7"/>
  <c r="D7" i="7"/>
  <c r="F6" i="7"/>
  <c r="D6" i="7"/>
  <c r="F5" i="7"/>
  <c r="D5" i="7"/>
  <c r="D43" i="5"/>
  <c r="D42" i="5"/>
  <c r="D41" i="5"/>
  <c r="D40" i="5"/>
  <c r="D39" i="5"/>
  <c r="C35" i="5"/>
  <c r="C29" i="5"/>
  <c r="H23" i="5"/>
  <c r="H22" i="5"/>
  <c r="H21" i="5"/>
  <c r="H20" i="5"/>
  <c r="I20" i="5" s="1"/>
  <c r="H19" i="5"/>
  <c r="H18" i="5"/>
  <c r="H17" i="5"/>
  <c r="H16" i="5"/>
  <c r="I16" i="5" s="1"/>
  <c r="H15" i="5"/>
  <c r="H14" i="5"/>
  <c r="H13" i="5"/>
  <c r="H12" i="5"/>
  <c r="C27" i="5" s="1"/>
  <c r="C30" i="5" s="1"/>
  <c r="H11" i="5"/>
  <c r="H10" i="5"/>
  <c r="H9" i="5"/>
  <c r="H8" i="5"/>
  <c r="H7" i="5"/>
  <c r="H6" i="5"/>
  <c r="H5" i="5"/>
  <c r="D33" i="4"/>
  <c r="G31" i="4"/>
  <c r="D31" i="4"/>
  <c r="E31" i="4" s="1"/>
  <c r="B31" i="4"/>
  <c r="K31" i="4" s="1"/>
  <c r="D28" i="17" s="1"/>
  <c r="G30" i="4"/>
  <c r="D30" i="4"/>
  <c r="E30" i="4" s="1"/>
  <c r="B30" i="4"/>
  <c r="K30" i="4" s="1"/>
  <c r="D27" i="17" s="1"/>
  <c r="G29" i="4"/>
  <c r="D29" i="4"/>
  <c r="E29" i="4" s="1"/>
  <c r="B29" i="4"/>
  <c r="K29" i="4" s="1"/>
  <c r="D26" i="17" s="1"/>
  <c r="K28" i="4"/>
  <c r="D25" i="17" s="1"/>
  <c r="G28" i="4"/>
  <c r="B28" i="4"/>
  <c r="D28" i="4" s="1"/>
  <c r="E28" i="4" s="1"/>
  <c r="G27" i="4"/>
  <c r="B27" i="4"/>
  <c r="G26" i="4"/>
  <c r="B26" i="4"/>
  <c r="G25" i="4"/>
  <c r="B25" i="4"/>
  <c r="K24" i="4"/>
  <c r="D21" i="17" s="1"/>
  <c r="G24" i="4"/>
  <c r="D24" i="4"/>
  <c r="E24" i="4" s="1"/>
  <c r="B24" i="4"/>
  <c r="G23" i="4"/>
  <c r="D23" i="4"/>
  <c r="E23" i="4" s="1"/>
  <c r="B23" i="4"/>
  <c r="G22" i="4"/>
  <c r="B22" i="4"/>
  <c r="D22" i="4" s="1"/>
  <c r="E22" i="4" s="1"/>
  <c r="G21" i="4"/>
  <c r="D21" i="4"/>
  <c r="E21" i="4" s="1"/>
  <c r="B21" i="4"/>
  <c r="K20" i="4"/>
  <c r="D17" i="17" s="1"/>
  <c r="G20" i="4"/>
  <c r="D20" i="4"/>
  <c r="E20" i="4" s="1"/>
  <c r="B20" i="4"/>
  <c r="G19" i="4"/>
  <c r="B19" i="4"/>
  <c r="G18" i="4"/>
  <c r="B18" i="4"/>
  <c r="G17" i="4"/>
  <c r="D17" i="4"/>
  <c r="E17" i="4" s="1"/>
  <c r="B17" i="4"/>
  <c r="K16" i="4"/>
  <c r="D13" i="17" s="1"/>
  <c r="G16" i="4"/>
  <c r="D16" i="4"/>
  <c r="E16" i="4" s="1"/>
  <c r="B16" i="4"/>
  <c r="G15" i="4"/>
  <c r="B15" i="4"/>
  <c r="G14" i="4"/>
  <c r="B14" i="4"/>
  <c r="G13" i="4"/>
  <c r="D13" i="4"/>
  <c r="E13" i="4" s="1"/>
  <c r="B13" i="4"/>
  <c r="K12" i="4"/>
  <c r="D9" i="17" s="1"/>
  <c r="G12" i="4"/>
  <c r="D12" i="4"/>
  <c r="E12" i="4" s="1"/>
  <c r="B12" i="4"/>
  <c r="G11" i="4"/>
  <c r="B11" i="4"/>
  <c r="G10" i="4"/>
  <c r="B10" i="4"/>
  <c r="G9" i="4"/>
  <c r="D9" i="4"/>
  <c r="E9" i="4" s="1"/>
  <c r="B9" i="4"/>
  <c r="K8" i="4"/>
  <c r="D5" i="17" s="1"/>
  <c r="G8" i="4"/>
  <c r="D8" i="4"/>
  <c r="E8" i="4" s="1"/>
  <c r="B8" i="4"/>
  <c r="G7" i="4"/>
  <c r="B7" i="4"/>
  <c r="G6" i="4"/>
  <c r="B6" i="4"/>
  <c r="G5" i="4"/>
  <c r="D5" i="4"/>
  <c r="E5" i="4" s="1"/>
  <c r="B5" i="4"/>
  <c r="N107" i="3"/>
  <c r="M107" i="3"/>
  <c r="J107" i="3"/>
  <c r="G107" i="3"/>
  <c r="M106" i="3"/>
  <c r="N106" i="3" s="1"/>
  <c r="J106" i="3"/>
  <c r="G106" i="3"/>
  <c r="N105" i="3"/>
  <c r="M105" i="3"/>
  <c r="J105" i="3"/>
  <c r="G105" i="3"/>
  <c r="M104" i="3"/>
  <c r="N104" i="3" s="1"/>
  <c r="J104" i="3"/>
  <c r="G104" i="3"/>
  <c r="N103" i="3"/>
  <c r="M103" i="3"/>
  <c r="J103" i="3"/>
  <c r="G103" i="3"/>
  <c r="M102" i="3"/>
  <c r="N102" i="3" s="1"/>
  <c r="J102" i="3"/>
  <c r="G102" i="3"/>
  <c r="N101" i="3"/>
  <c r="M101" i="3"/>
  <c r="J101" i="3"/>
  <c r="G101" i="3"/>
  <c r="M100" i="3"/>
  <c r="N100" i="3" s="1"/>
  <c r="J100" i="3"/>
  <c r="G100" i="3"/>
  <c r="N99" i="3"/>
  <c r="M99" i="3"/>
  <c r="J99" i="3"/>
  <c r="G99" i="3"/>
  <c r="M98" i="3"/>
  <c r="N98" i="3" s="1"/>
  <c r="J98" i="3"/>
  <c r="G98" i="3"/>
  <c r="N97" i="3"/>
  <c r="M97" i="3"/>
  <c r="J97" i="3"/>
  <c r="G97" i="3"/>
  <c r="M96" i="3"/>
  <c r="N96" i="3" s="1"/>
  <c r="J96" i="3"/>
  <c r="G96" i="3"/>
  <c r="N95" i="3"/>
  <c r="M95" i="3"/>
  <c r="J95" i="3"/>
  <c r="G95" i="3"/>
  <c r="M94" i="3"/>
  <c r="N94" i="3" s="1"/>
  <c r="J94" i="3"/>
  <c r="G94" i="3"/>
  <c r="N93" i="3"/>
  <c r="M93" i="3"/>
  <c r="J93" i="3"/>
  <c r="G93" i="3"/>
  <c r="M92" i="3"/>
  <c r="N92" i="3" s="1"/>
  <c r="J92" i="3"/>
  <c r="G92" i="3"/>
  <c r="N91" i="3"/>
  <c r="M91" i="3"/>
  <c r="J91" i="3"/>
  <c r="G91" i="3"/>
  <c r="M90" i="3"/>
  <c r="N90" i="3" s="1"/>
  <c r="J90" i="3"/>
  <c r="G90" i="3"/>
  <c r="N89" i="3"/>
  <c r="M89" i="3"/>
  <c r="J89" i="3"/>
  <c r="G89" i="3"/>
  <c r="M88" i="3"/>
  <c r="N88" i="3" s="1"/>
  <c r="J88" i="3"/>
  <c r="G88" i="3"/>
  <c r="N87" i="3"/>
  <c r="M87" i="3"/>
  <c r="J87" i="3"/>
  <c r="G87" i="3"/>
  <c r="M86" i="3"/>
  <c r="N86" i="3" s="1"/>
  <c r="J86" i="3"/>
  <c r="G86" i="3"/>
  <c r="N85" i="3"/>
  <c r="M85" i="3"/>
  <c r="J85" i="3"/>
  <c r="G85" i="3"/>
  <c r="M84" i="3"/>
  <c r="N84" i="3" s="1"/>
  <c r="J84" i="3"/>
  <c r="G84" i="3"/>
  <c r="N83" i="3"/>
  <c r="M83" i="3"/>
  <c r="J83" i="3"/>
  <c r="G83" i="3"/>
  <c r="M82" i="3"/>
  <c r="N82" i="3" s="1"/>
  <c r="J82" i="3"/>
  <c r="G82" i="3"/>
  <c r="N81" i="3"/>
  <c r="M81" i="3"/>
  <c r="J81" i="3"/>
  <c r="G81" i="3"/>
  <c r="M80" i="3"/>
  <c r="N80" i="3" s="1"/>
  <c r="J80" i="3"/>
  <c r="G80" i="3"/>
  <c r="N79" i="3"/>
  <c r="M79" i="3"/>
  <c r="J79" i="3"/>
  <c r="G79" i="3"/>
  <c r="M78" i="3"/>
  <c r="N78" i="3" s="1"/>
  <c r="J78" i="3"/>
  <c r="G78" i="3"/>
  <c r="N77" i="3"/>
  <c r="M77" i="3"/>
  <c r="J77" i="3"/>
  <c r="G77" i="3"/>
  <c r="M76" i="3"/>
  <c r="N76" i="3" s="1"/>
  <c r="J76" i="3"/>
  <c r="G76" i="3"/>
  <c r="N75" i="3"/>
  <c r="M75" i="3"/>
  <c r="J75" i="3"/>
  <c r="G75" i="3"/>
  <c r="M74" i="3"/>
  <c r="N74" i="3" s="1"/>
  <c r="J74" i="3"/>
  <c r="G74" i="3"/>
  <c r="N73" i="3"/>
  <c r="M73" i="3"/>
  <c r="J73" i="3"/>
  <c r="G73" i="3"/>
  <c r="M72" i="3"/>
  <c r="N72" i="3" s="1"/>
  <c r="J72" i="3"/>
  <c r="G72" i="3"/>
  <c r="N71" i="3"/>
  <c r="M71" i="3"/>
  <c r="J71" i="3"/>
  <c r="G71" i="3"/>
  <c r="M70" i="3"/>
  <c r="N70" i="3" s="1"/>
  <c r="J70" i="3"/>
  <c r="G70" i="3"/>
  <c r="N69" i="3"/>
  <c r="M69" i="3"/>
  <c r="J69" i="3"/>
  <c r="G69" i="3"/>
  <c r="M68" i="3"/>
  <c r="N68" i="3" s="1"/>
  <c r="J68" i="3"/>
  <c r="G68" i="3"/>
  <c r="N67" i="3"/>
  <c r="M67" i="3"/>
  <c r="J67" i="3"/>
  <c r="G67" i="3"/>
  <c r="M66" i="3"/>
  <c r="N66" i="3" s="1"/>
  <c r="J66" i="3"/>
  <c r="G66" i="3"/>
  <c r="N65" i="3"/>
  <c r="M65" i="3"/>
  <c r="J65" i="3"/>
  <c r="G65" i="3"/>
  <c r="M64" i="3"/>
  <c r="N64" i="3" s="1"/>
  <c r="J64" i="3"/>
  <c r="G64" i="3"/>
  <c r="N63" i="3"/>
  <c r="M63" i="3"/>
  <c r="J63" i="3"/>
  <c r="G63" i="3"/>
  <c r="M62" i="3"/>
  <c r="N62" i="3" s="1"/>
  <c r="J62" i="3"/>
  <c r="G62" i="3"/>
  <c r="N61" i="3"/>
  <c r="M61" i="3"/>
  <c r="J61" i="3"/>
  <c r="G61" i="3"/>
  <c r="M60" i="3"/>
  <c r="N60" i="3" s="1"/>
  <c r="J60" i="3"/>
  <c r="G60" i="3"/>
  <c r="N59" i="3"/>
  <c r="M59" i="3"/>
  <c r="J59" i="3"/>
  <c r="G59" i="3"/>
  <c r="M58" i="3"/>
  <c r="N58" i="3" s="1"/>
  <c r="J58" i="3"/>
  <c r="G58" i="3"/>
  <c r="N57" i="3"/>
  <c r="M57" i="3"/>
  <c r="J57" i="3"/>
  <c r="G57" i="3"/>
  <c r="M56" i="3"/>
  <c r="N56" i="3" s="1"/>
  <c r="J56" i="3"/>
  <c r="G56" i="3"/>
  <c r="N55" i="3"/>
  <c r="M55" i="3"/>
  <c r="J55" i="3"/>
  <c r="G55" i="3"/>
  <c r="M54" i="3"/>
  <c r="N54" i="3" s="1"/>
  <c r="J54" i="3"/>
  <c r="G54" i="3"/>
  <c r="N53" i="3"/>
  <c r="M53" i="3"/>
  <c r="J53" i="3"/>
  <c r="G53" i="3"/>
  <c r="M52" i="3"/>
  <c r="N52" i="3" s="1"/>
  <c r="J52" i="3"/>
  <c r="G52" i="3"/>
  <c r="N51" i="3"/>
  <c r="M51" i="3"/>
  <c r="J51" i="3"/>
  <c r="G51" i="3"/>
  <c r="M50" i="3"/>
  <c r="N50" i="3" s="1"/>
  <c r="J50" i="3"/>
  <c r="G50" i="3"/>
  <c r="N49" i="3"/>
  <c r="M49" i="3"/>
  <c r="J49" i="3"/>
  <c r="G49" i="3"/>
  <c r="M48" i="3"/>
  <c r="N48" i="3" s="1"/>
  <c r="J48" i="3"/>
  <c r="G48" i="3"/>
  <c r="N47" i="3"/>
  <c r="M47" i="3"/>
  <c r="J47" i="3"/>
  <c r="G47" i="3"/>
  <c r="M46" i="3"/>
  <c r="N46" i="3" s="1"/>
  <c r="J46" i="3"/>
  <c r="G46" i="3"/>
  <c r="N45" i="3"/>
  <c r="M45" i="3"/>
  <c r="J45" i="3"/>
  <c r="G45" i="3"/>
  <c r="M44" i="3"/>
  <c r="N44" i="3" s="1"/>
  <c r="J44" i="3"/>
  <c r="G44" i="3"/>
  <c r="N43" i="3"/>
  <c r="M43" i="3"/>
  <c r="J43" i="3"/>
  <c r="G43" i="3"/>
  <c r="M42" i="3"/>
  <c r="N42" i="3" s="1"/>
  <c r="J42" i="3"/>
  <c r="G42" i="3"/>
  <c r="N41" i="3"/>
  <c r="M41" i="3"/>
  <c r="J41" i="3"/>
  <c r="G41" i="3"/>
  <c r="M40" i="3"/>
  <c r="N40" i="3" s="1"/>
  <c r="J40" i="3"/>
  <c r="G40" i="3"/>
  <c r="N39" i="3"/>
  <c r="M39" i="3"/>
  <c r="J39" i="3"/>
  <c r="G39" i="3"/>
  <c r="M38" i="3"/>
  <c r="N38" i="3" s="1"/>
  <c r="J38" i="3"/>
  <c r="G38" i="3"/>
  <c r="N37" i="3"/>
  <c r="M37" i="3"/>
  <c r="J37" i="3"/>
  <c r="G37" i="3"/>
  <c r="M36" i="3"/>
  <c r="N36" i="3" s="1"/>
  <c r="J36" i="3"/>
  <c r="G36" i="3"/>
  <c r="N35" i="3"/>
  <c r="M35" i="3"/>
  <c r="J35" i="3"/>
  <c r="G35" i="3"/>
  <c r="M34" i="3"/>
  <c r="N34" i="3" s="1"/>
  <c r="J34" i="3"/>
  <c r="G34" i="3"/>
  <c r="N33" i="3"/>
  <c r="M33" i="3"/>
  <c r="J33" i="3"/>
  <c r="G33" i="3"/>
  <c r="M32" i="3"/>
  <c r="N32" i="3" s="1"/>
  <c r="J32" i="3"/>
  <c r="G32" i="3"/>
  <c r="N31" i="3"/>
  <c r="M31" i="3"/>
  <c r="J31" i="3"/>
  <c r="G31" i="3"/>
  <c r="M30" i="3"/>
  <c r="N30" i="3" s="1"/>
  <c r="J30" i="3"/>
  <c r="G30" i="3"/>
  <c r="N29" i="3"/>
  <c r="M29" i="3"/>
  <c r="J29" i="3"/>
  <c r="G29" i="3"/>
  <c r="M28" i="3"/>
  <c r="N28" i="3" s="1"/>
  <c r="J28" i="3"/>
  <c r="G28" i="3"/>
  <c r="N27" i="3"/>
  <c r="M27" i="3"/>
  <c r="J27" i="3"/>
  <c r="G27" i="3"/>
  <c r="M26" i="3"/>
  <c r="N26" i="3" s="1"/>
  <c r="J26" i="3"/>
  <c r="G26" i="3"/>
  <c r="N25" i="3"/>
  <c r="M25" i="3"/>
  <c r="J25" i="3"/>
  <c r="G25" i="3"/>
  <c r="M24" i="3"/>
  <c r="N24" i="3" s="1"/>
  <c r="J24" i="3"/>
  <c r="G24" i="3"/>
  <c r="N23" i="3"/>
  <c r="M23" i="3"/>
  <c r="J23" i="3"/>
  <c r="G23" i="3"/>
  <c r="M22" i="3"/>
  <c r="N22" i="3" s="1"/>
  <c r="J22" i="3"/>
  <c r="G22" i="3"/>
  <c r="N21" i="3"/>
  <c r="M21" i="3"/>
  <c r="J21" i="3"/>
  <c r="G21" i="3"/>
  <c r="M20" i="3"/>
  <c r="N20" i="3" s="1"/>
  <c r="J20" i="3"/>
  <c r="G20" i="3"/>
  <c r="N19" i="3"/>
  <c r="M19" i="3"/>
  <c r="J19" i="3"/>
  <c r="G19" i="3"/>
  <c r="M18" i="3"/>
  <c r="N18" i="3" s="1"/>
  <c r="J18" i="3"/>
  <c r="G18" i="3"/>
  <c r="N17" i="3"/>
  <c r="M17" i="3"/>
  <c r="J17" i="3"/>
  <c r="G17" i="3"/>
  <c r="M16" i="3"/>
  <c r="N16" i="3" s="1"/>
  <c r="J16" i="3"/>
  <c r="G16" i="3"/>
  <c r="N15" i="3"/>
  <c r="M15" i="3"/>
  <c r="J15" i="3"/>
  <c r="G15" i="3"/>
  <c r="M14" i="3"/>
  <c r="N14" i="3" s="1"/>
  <c r="J14" i="3"/>
  <c r="G14" i="3"/>
  <c r="N13" i="3"/>
  <c r="M13" i="3"/>
  <c r="J13" i="3"/>
  <c r="G13" i="3"/>
  <c r="M12" i="3"/>
  <c r="N12" i="3" s="1"/>
  <c r="J12" i="3"/>
  <c r="G12" i="3"/>
  <c r="N11" i="3"/>
  <c r="M11" i="3"/>
  <c r="J11" i="3"/>
  <c r="G11" i="3"/>
  <c r="M10" i="3"/>
  <c r="N10" i="3" s="1"/>
  <c r="J10" i="3"/>
  <c r="G10" i="3"/>
  <c r="N9" i="3"/>
  <c r="M9" i="3"/>
  <c r="J9" i="3"/>
  <c r="G9" i="3"/>
  <c r="M8" i="3"/>
  <c r="N8" i="3" s="1"/>
  <c r="J8" i="3"/>
  <c r="G8" i="3"/>
  <c r="N7" i="3"/>
  <c r="M7" i="3"/>
  <c r="J7" i="3"/>
  <c r="G7" i="3"/>
  <c r="M6" i="3"/>
  <c r="N6" i="3" s="1"/>
  <c r="J6" i="3"/>
  <c r="G6" i="3"/>
  <c r="N5" i="3"/>
  <c r="M5" i="3"/>
  <c r="J5" i="3"/>
  <c r="G5" i="3"/>
  <c r="C35" i="2"/>
  <c r="C23" i="2"/>
  <c r="C15" i="2"/>
  <c r="G31" i="6"/>
  <c r="D55" i="17" s="1"/>
  <c r="C31" i="6"/>
  <c r="D31" i="6" s="1"/>
  <c r="E31" i="6" s="1"/>
  <c r="F31" i="6" s="1"/>
  <c r="C55" i="17" s="1"/>
  <c r="G30" i="6"/>
  <c r="D54" i="17" s="1"/>
  <c r="G29" i="6"/>
  <c r="D53" i="17" s="1"/>
  <c r="G28" i="6"/>
  <c r="D52" i="17" s="1"/>
  <c r="G27" i="6"/>
  <c r="D51" i="17" s="1"/>
  <c r="G26" i="6"/>
  <c r="D50" i="17" s="1"/>
  <c r="D26" i="6"/>
  <c r="E26" i="6" s="1"/>
  <c r="F26" i="6" s="1"/>
  <c r="C50" i="17" s="1"/>
  <c r="C26" i="6"/>
  <c r="G25" i="6"/>
  <c r="D49" i="17" s="1"/>
  <c r="D25" i="6"/>
  <c r="E25" i="6" s="1"/>
  <c r="F25" i="6" s="1"/>
  <c r="C49" i="17" s="1"/>
  <c r="C25" i="6"/>
  <c r="G24" i="6"/>
  <c r="D48" i="17" s="1"/>
  <c r="G23" i="6"/>
  <c r="D47" i="17" s="1"/>
  <c r="G22" i="6"/>
  <c r="D46" i="17" s="1"/>
  <c r="G21" i="6"/>
  <c r="D45" i="17" s="1"/>
  <c r="E21" i="6"/>
  <c r="F21" i="6" s="1"/>
  <c r="C45" i="17" s="1"/>
  <c r="C21" i="6"/>
  <c r="D21" i="6" s="1"/>
  <c r="G20" i="6"/>
  <c r="D44" i="17" s="1"/>
  <c r="G19" i="6"/>
  <c r="D43" i="17" s="1"/>
  <c r="G18" i="6"/>
  <c r="D42" i="17" s="1"/>
  <c r="D18" i="6"/>
  <c r="E18" i="6" s="1"/>
  <c r="F18" i="6" s="1"/>
  <c r="C42" i="17" s="1"/>
  <c r="C18" i="6"/>
  <c r="G17" i="6"/>
  <c r="D41" i="17" s="1"/>
  <c r="D17" i="6"/>
  <c r="E17" i="6" s="1"/>
  <c r="F17" i="6" s="1"/>
  <c r="C41" i="17" s="1"/>
  <c r="C17" i="6"/>
  <c r="G16" i="6"/>
  <c r="D40" i="17" s="1"/>
  <c r="C16" i="6"/>
  <c r="D16" i="6" s="1"/>
  <c r="E16" i="6" s="1"/>
  <c r="F16" i="6" s="1"/>
  <c r="C40" i="17" s="1"/>
  <c r="G15" i="6"/>
  <c r="D39" i="17" s="1"/>
  <c r="C15" i="6"/>
  <c r="D15" i="6" s="1"/>
  <c r="E15" i="6" s="1"/>
  <c r="F15" i="6" s="1"/>
  <c r="C39" i="17" s="1"/>
  <c r="G14" i="6"/>
  <c r="D38" i="17" s="1"/>
  <c r="C14" i="6"/>
  <c r="D14" i="6" s="1"/>
  <c r="E14" i="6" s="1"/>
  <c r="F14" i="6" s="1"/>
  <c r="C38" i="17" s="1"/>
  <c r="G13" i="6"/>
  <c r="D37" i="17" s="1"/>
  <c r="C13" i="6"/>
  <c r="D13" i="6" s="1"/>
  <c r="E13" i="6" s="1"/>
  <c r="F13" i="6" s="1"/>
  <c r="C37" i="17" s="1"/>
  <c r="G12" i="6"/>
  <c r="D36" i="17" s="1"/>
  <c r="G11" i="6"/>
  <c r="D35" i="17" s="1"/>
  <c r="C11" i="6"/>
  <c r="D11" i="6" s="1"/>
  <c r="E11" i="6" s="1"/>
  <c r="F11" i="6" s="1"/>
  <c r="C35" i="17" s="1"/>
  <c r="G10" i="6"/>
  <c r="D34" i="17" s="1"/>
  <c r="G9" i="6"/>
  <c r="D33" i="17" s="1"/>
  <c r="G8" i="6"/>
  <c r="D32" i="17" s="1"/>
  <c r="C8" i="6"/>
  <c r="D8" i="6" s="1"/>
  <c r="E8" i="6" s="1"/>
  <c r="F8" i="6" s="1"/>
  <c r="C32" i="17" s="1"/>
  <c r="G7" i="6"/>
  <c r="D31" i="17" s="1"/>
  <c r="G6" i="6"/>
  <c r="D30" i="17" s="1"/>
  <c r="G5" i="6"/>
  <c r="D29" i="17" s="1"/>
  <c r="C5" i="6"/>
  <c r="D5" i="6" s="1"/>
  <c r="E5" i="6" s="1"/>
  <c r="F5" i="6" s="1"/>
  <c r="C29" i="17" s="1"/>
  <c r="D15" i="4" l="1"/>
  <c r="E15" i="4" s="1"/>
  <c r="K15" i="4"/>
  <c r="D12" i="17" s="1"/>
  <c r="C15" i="4"/>
  <c r="F15" i="4" s="1"/>
  <c r="H15" i="4" s="1"/>
  <c r="I15" i="4" s="1"/>
  <c r="J15" i="4" s="1"/>
  <c r="D19" i="4"/>
  <c r="E19" i="4" s="1"/>
  <c r="K19" i="4"/>
  <c r="D16" i="17" s="1"/>
  <c r="C19" i="4"/>
  <c r="F19" i="4" s="1"/>
  <c r="H19" i="4" s="1"/>
  <c r="I19" i="4" s="1"/>
  <c r="J19" i="4" s="1"/>
  <c r="D7" i="4"/>
  <c r="E7" i="4" s="1"/>
  <c r="K7" i="4"/>
  <c r="D4" i="17" s="1"/>
  <c r="C7" i="4"/>
  <c r="F7" i="4" s="1"/>
  <c r="H7" i="4" s="1"/>
  <c r="I7" i="4" s="1"/>
  <c r="J7" i="4" s="1"/>
  <c r="C24" i="4"/>
  <c r="F24" i="4" s="1"/>
  <c r="H24" i="4" s="1"/>
  <c r="I24" i="4" s="1"/>
  <c r="J24" i="4" s="1"/>
  <c r="K26" i="4"/>
  <c r="D23" i="17" s="1"/>
  <c r="C26" i="4"/>
  <c r="F26" i="4" s="1"/>
  <c r="H26" i="4" s="1"/>
  <c r="I26" i="4" s="1"/>
  <c r="J26" i="4" s="1"/>
  <c r="D26" i="4"/>
  <c r="E26" i="4" s="1"/>
  <c r="D24" i="14"/>
  <c r="D29" i="8"/>
  <c r="C33" i="4"/>
  <c r="D11" i="4"/>
  <c r="E11" i="4" s="1"/>
  <c r="K11" i="4"/>
  <c r="D8" i="17" s="1"/>
  <c r="C11" i="4"/>
  <c r="F11" i="4" s="1"/>
  <c r="H11" i="4" s="1"/>
  <c r="I11" i="4" s="1"/>
  <c r="J11" i="4" s="1"/>
  <c r="K6" i="4"/>
  <c r="D3" i="17" s="1"/>
  <c r="C6" i="4"/>
  <c r="K10" i="4"/>
  <c r="D7" i="17" s="1"/>
  <c r="C10" i="4"/>
  <c r="F10" i="4" s="1"/>
  <c r="H10" i="4" s="1"/>
  <c r="I10" i="4" s="1"/>
  <c r="J10" i="4" s="1"/>
  <c r="K14" i="4"/>
  <c r="D11" i="17" s="1"/>
  <c r="C14" i="4"/>
  <c r="K18" i="4"/>
  <c r="D15" i="17" s="1"/>
  <c r="C18" i="4"/>
  <c r="F18" i="4" s="1"/>
  <c r="H18" i="4" s="1"/>
  <c r="I18" i="4" s="1"/>
  <c r="J18" i="4" s="1"/>
  <c r="K27" i="4"/>
  <c r="D24" i="17" s="1"/>
  <c r="C27" i="4"/>
  <c r="F27" i="4" s="1"/>
  <c r="H27" i="4" s="1"/>
  <c r="I27" i="4" s="1"/>
  <c r="J27" i="4" s="1"/>
  <c r="D27" i="4"/>
  <c r="E27" i="4" s="1"/>
  <c r="D6" i="4"/>
  <c r="E6" i="4" s="1"/>
  <c r="D10" i="4"/>
  <c r="E10" i="4" s="1"/>
  <c r="D14" i="4"/>
  <c r="E14" i="4" s="1"/>
  <c r="D18" i="4"/>
  <c r="E18" i="4" s="1"/>
  <c r="K5" i="4"/>
  <c r="D2" i="17" s="1"/>
  <c r="C5" i="4"/>
  <c r="F5" i="4" s="1"/>
  <c r="H5" i="4" s="1"/>
  <c r="I5" i="4" s="1"/>
  <c r="J5" i="4" s="1"/>
  <c r="K9" i="4"/>
  <c r="D6" i="17" s="1"/>
  <c r="C9" i="4"/>
  <c r="F9" i="4" s="1"/>
  <c r="H9" i="4" s="1"/>
  <c r="I9" i="4" s="1"/>
  <c r="J9" i="4" s="1"/>
  <c r="K13" i="4"/>
  <c r="D10" i="17" s="1"/>
  <c r="C13" i="4"/>
  <c r="F13" i="4" s="1"/>
  <c r="H13" i="4" s="1"/>
  <c r="I13" i="4" s="1"/>
  <c r="J13" i="4" s="1"/>
  <c r="K17" i="4"/>
  <c r="D14" i="17" s="1"/>
  <c r="C17" i="4"/>
  <c r="F17" i="4" s="1"/>
  <c r="H17" i="4" s="1"/>
  <c r="I17" i="4" s="1"/>
  <c r="J17" i="4" s="1"/>
  <c r="K21" i="4"/>
  <c r="D18" i="17" s="1"/>
  <c r="C21" i="4"/>
  <c r="F21" i="4" s="1"/>
  <c r="H21" i="4" s="1"/>
  <c r="I21" i="4" s="1"/>
  <c r="J21" i="4" s="1"/>
  <c r="C8" i="4"/>
  <c r="F8" i="4" s="1"/>
  <c r="H8" i="4" s="1"/>
  <c r="I8" i="4" s="1"/>
  <c r="J8" i="4" s="1"/>
  <c r="C12" i="4"/>
  <c r="F12" i="4" s="1"/>
  <c r="H12" i="4" s="1"/>
  <c r="I12" i="4" s="1"/>
  <c r="J12" i="4" s="1"/>
  <c r="C16" i="4"/>
  <c r="F16" i="4" s="1"/>
  <c r="H16" i="4" s="1"/>
  <c r="I16" i="4" s="1"/>
  <c r="J16" i="4" s="1"/>
  <c r="C20" i="4"/>
  <c r="F20" i="4" s="1"/>
  <c r="H20" i="4" s="1"/>
  <c r="I20" i="4" s="1"/>
  <c r="J20" i="4" s="1"/>
  <c r="C28" i="4"/>
  <c r="F28" i="4" s="1"/>
  <c r="H28" i="4" s="1"/>
  <c r="I28" i="4" s="1"/>
  <c r="J28" i="4" s="1"/>
  <c r="I21" i="5"/>
  <c r="C28" i="6" s="1"/>
  <c r="D28" i="6" s="1"/>
  <c r="E28" i="6" s="1"/>
  <c r="F28" i="6" s="1"/>
  <c r="C52" i="17" s="1"/>
  <c r="I17" i="5"/>
  <c r="I13" i="5"/>
  <c r="C19" i="6" s="1"/>
  <c r="D19" i="6" s="1"/>
  <c r="E19" i="6" s="1"/>
  <c r="F19" i="6" s="1"/>
  <c r="C43" i="17" s="1"/>
  <c r="I9" i="5"/>
  <c r="I5" i="5"/>
  <c r="C6" i="6" s="1"/>
  <c r="D6" i="6" s="1"/>
  <c r="E6" i="6" s="1"/>
  <c r="F6" i="6" s="1"/>
  <c r="C30" i="17" s="1"/>
  <c r="I23" i="5"/>
  <c r="C7" i="6" s="1"/>
  <c r="D7" i="6" s="1"/>
  <c r="E7" i="6" s="1"/>
  <c r="F7" i="6" s="1"/>
  <c r="C31" i="17" s="1"/>
  <c r="I19" i="5"/>
  <c r="C22" i="6" s="1"/>
  <c r="D22" i="6" s="1"/>
  <c r="E22" i="6" s="1"/>
  <c r="F22" i="6" s="1"/>
  <c r="C46" i="17" s="1"/>
  <c r="I15" i="5"/>
  <c r="C29" i="6" s="1"/>
  <c r="D29" i="6" s="1"/>
  <c r="E29" i="6" s="1"/>
  <c r="F29" i="6" s="1"/>
  <c r="C53" i="17" s="1"/>
  <c r="I11" i="5"/>
  <c r="I7" i="5"/>
  <c r="C12" i="6" s="1"/>
  <c r="D12" i="6" s="1"/>
  <c r="E12" i="6" s="1"/>
  <c r="F12" i="6" s="1"/>
  <c r="C36" i="17" s="1"/>
  <c r="I22" i="5"/>
  <c r="C27" i="6" s="1"/>
  <c r="D27" i="6" s="1"/>
  <c r="E27" i="6" s="1"/>
  <c r="F27" i="6" s="1"/>
  <c r="C51" i="17" s="1"/>
  <c r="I18" i="5"/>
  <c r="I14" i="5"/>
  <c r="C24" i="6" s="1"/>
  <c r="D24" i="6" s="1"/>
  <c r="E24" i="6" s="1"/>
  <c r="F24" i="6" s="1"/>
  <c r="C48" i="17" s="1"/>
  <c r="I10" i="5"/>
  <c r="C10" i="6" s="1"/>
  <c r="D10" i="6" s="1"/>
  <c r="E10" i="6" s="1"/>
  <c r="F10" i="6" s="1"/>
  <c r="C34" i="17" s="1"/>
  <c r="I6" i="5"/>
  <c r="C9" i="6" s="1"/>
  <c r="D9" i="6" s="1"/>
  <c r="E9" i="6" s="1"/>
  <c r="F9" i="6" s="1"/>
  <c r="C33" i="17" s="1"/>
  <c r="C32" i="16"/>
  <c r="C86" i="16"/>
  <c r="C5" i="16"/>
  <c r="C59" i="16"/>
  <c r="C16" i="16"/>
  <c r="C70" i="16"/>
  <c r="C43" i="16"/>
  <c r="C97" i="16"/>
  <c r="C79" i="16"/>
  <c r="C52" i="16"/>
  <c r="C106" i="16"/>
  <c r="C25" i="16"/>
  <c r="I12" i="5"/>
  <c r="C20" i="6" s="1"/>
  <c r="D20" i="6" s="1"/>
  <c r="E20" i="6" s="1"/>
  <c r="F20" i="6" s="1"/>
  <c r="C44" i="17" s="1"/>
  <c r="C87" i="16"/>
  <c r="C6" i="16"/>
  <c r="C60" i="16"/>
  <c r="C33" i="16"/>
  <c r="C64" i="16"/>
  <c r="C37" i="16"/>
  <c r="C91" i="16"/>
  <c r="C10" i="16"/>
  <c r="C80" i="16"/>
  <c r="C53" i="16"/>
  <c r="C107" i="16"/>
  <c r="C26" i="16"/>
  <c r="D18" i="9"/>
  <c r="C69" i="17" s="1"/>
  <c r="C30" i="16"/>
  <c r="C84" i="16"/>
  <c r="C3" i="16"/>
  <c r="C57" i="16"/>
  <c r="K25" i="4"/>
  <c r="D22" i="17" s="1"/>
  <c r="C25" i="4"/>
  <c r="I8" i="5"/>
  <c r="C23" i="6" s="1"/>
  <c r="D23" i="6" s="1"/>
  <c r="E23" i="6" s="1"/>
  <c r="F23" i="6" s="1"/>
  <c r="C47" i="17" s="1"/>
  <c r="D22" i="9"/>
  <c r="C73" i="17" s="1"/>
  <c r="C119" i="16"/>
  <c r="C146" i="16"/>
  <c r="C88" i="16"/>
  <c r="C7" i="16"/>
  <c r="C61" i="16"/>
  <c r="C34" i="16"/>
  <c r="C54" i="16"/>
  <c r="C108" i="16"/>
  <c r="C27" i="16"/>
  <c r="C81" i="16"/>
  <c r="K23" i="4"/>
  <c r="D20" i="17" s="1"/>
  <c r="C23" i="4"/>
  <c r="F23" i="4" s="1"/>
  <c r="H23" i="4" s="1"/>
  <c r="I23" i="4" s="1"/>
  <c r="J23" i="4" s="1"/>
  <c r="D25" i="4"/>
  <c r="E25" i="4" s="1"/>
  <c r="D20" i="9"/>
  <c r="C71" i="17" s="1"/>
  <c r="D25" i="14"/>
  <c r="B12" i="15" s="1"/>
  <c r="D12" i="15" s="1"/>
  <c r="E12" i="15" s="1"/>
  <c r="D28" i="8"/>
  <c r="D31" i="8" s="1"/>
  <c r="B23" i="9" s="1"/>
  <c r="D27" i="8"/>
  <c r="D30" i="8" s="1"/>
  <c r="B15" i="9" s="1"/>
  <c r="D23" i="14"/>
  <c r="D26" i="14" s="1"/>
  <c r="B23" i="15" s="1"/>
  <c r="D23" i="15" s="1"/>
  <c r="E23" i="15" s="1"/>
  <c r="C24" i="16"/>
  <c r="C78" i="16"/>
  <c r="C51" i="16"/>
  <c r="C105" i="16"/>
  <c r="C55" i="16"/>
  <c r="C109" i="16"/>
  <c r="C28" i="16"/>
  <c r="C82" i="16"/>
  <c r="K22" i="4"/>
  <c r="D19" i="17" s="1"/>
  <c r="C22" i="4"/>
  <c r="F22" i="4" s="1"/>
  <c r="H22" i="4" s="1"/>
  <c r="I22" i="4" s="1"/>
  <c r="J22" i="4" s="1"/>
  <c r="C96" i="16"/>
  <c r="C15" i="16"/>
  <c r="C69" i="16"/>
  <c r="C42" i="16"/>
  <c r="C8" i="16"/>
  <c r="C62" i="16"/>
  <c r="C35" i="16"/>
  <c r="C89" i="16"/>
  <c r="C30" i="4"/>
  <c r="F30" i="4" s="1"/>
  <c r="H30" i="4" s="1"/>
  <c r="I30" i="4" s="1"/>
  <c r="J30" i="4" s="1"/>
  <c r="C5" i="9"/>
  <c r="D5" i="9" s="1"/>
  <c r="C56" i="17" s="1"/>
  <c r="C9" i="9"/>
  <c r="D9" i="9" s="1"/>
  <c r="C60" i="17" s="1"/>
  <c r="C13" i="9"/>
  <c r="D13" i="9" s="1"/>
  <c r="C64" i="17" s="1"/>
  <c r="C24" i="9"/>
  <c r="D24" i="9" s="1"/>
  <c r="C75" i="17" s="1"/>
  <c r="C28" i="9"/>
  <c r="D28" i="9" s="1"/>
  <c r="C79" i="17" s="1"/>
  <c r="C17" i="16"/>
  <c r="C41" i="16"/>
  <c r="C49" i="16"/>
  <c r="C65" i="16"/>
  <c r="C73" i="16"/>
  <c r="C113" i="16"/>
  <c r="C121" i="16"/>
  <c r="C129" i="16"/>
  <c r="C137" i="16"/>
  <c r="C145" i="16"/>
  <c r="C153" i="16"/>
  <c r="C161" i="16"/>
  <c r="C17" i="9"/>
  <c r="D17" i="9" s="1"/>
  <c r="C68" i="17" s="1"/>
  <c r="C21" i="9"/>
  <c r="D21" i="9" s="1"/>
  <c r="C72" i="17" s="1"/>
  <c r="C2" i="16"/>
  <c r="C18" i="16"/>
  <c r="C50" i="16"/>
  <c r="C58" i="16"/>
  <c r="C66" i="16"/>
  <c r="C98" i="16"/>
  <c r="C114" i="16"/>
  <c r="C122" i="16"/>
  <c r="C130" i="16"/>
  <c r="C138" i="16"/>
  <c r="C154" i="16"/>
  <c r="C162" i="16"/>
  <c r="C31" i="4"/>
  <c r="F31" i="4" s="1"/>
  <c r="H31" i="4" s="1"/>
  <c r="I31" i="4" s="1"/>
  <c r="J31" i="4" s="1"/>
  <c r="C6" i="9"/>
  <c r="D6" i="9" s="1"/>
  <c r="C57" i="17" s="1"/>
  <c r="C10" i="9"/>
  <c r="D10" i="9" s="1"/>
  <c r="C61" i="17" s="1"/>
  <c r="C14" i="9"/>
  <c r="D14" i="9" s="1"/>
  <c r="C65" i="17" s="1"/>
  <c r="C25" i="9"/>
  <c r="D25" i="9" s="1"/>
  <c r="C76" i="17" s="1"/>
  <c r="C29" i="9"/>
  <c r="D29" i="9" s="1"/>
  <c r="C80" i="17" s="1"/>
  <c r="C26" i="10"/>
  <c r="D26" i="10" s="1"/>
  <c r="C104" i="17" s="1"/>
  <c r="C30" i="10"/>
  <c r="D30" i="10" s="1"/>
  <c r="C108" i="17" s="1"/>
  <c r="C11" i="16"/>
  <c r="C19" i="16"/>
  <c r="C67" i="16"/>
  <c r="C75" i="16"/>
  <c r="C83" i="16"/>
  <c r="C99" i="16"/>
  <c r="C115" i="16"/>
  <c r="C123" i="16"/>
  <c r="C131" i="16"/>
  <c r="C139" i="16"/>
  <c r="C147" i="16"/>
  <c r="C155" i="16"/>
  <c r="C163" i="16"/>
  <c r="C4" i="16"/>
  <c r="C12" i="16"/>
  <c r="C44" i="16"/>
  <c r="C68" i="16"/>
  <c r="C76" i="16"/>
  <c r="C92" i="16"/>
  <c r="C100" i="16"/>
  <c r="C116" i="16"/>
  <c r="C124" i="16"/>
  <c r="C132" i="16"/>
  <c r="C7" i="9"/>
  <c r="D7" i="9" s="1"/>
  <c r="C58" i="17" s="1"/>
  <c r="C11" i="9"/>
  <c r="D11" i="9" s="1"/>
  <c r="C62" i="17" s="1"/>
  <c r="C26" i="9"/>
  <c r="D26" i="9" s="1"/>
  <c r="C77" i="17" s="1"/>
  <c r="C30" i="9"/>
  <c r="D30" i="9" s="1"/>
  <c r="C81" i="17" s="1"/>
  <c r="C7" i="10"/>
  <c r="D7" i="10" s="1"/>
  <c r="C85" i="17" s="1"/>
  <c r="C11" i="10"/>
  <c r="D11" i="10" s="1"/>
  <c r="C89" i="17" s="1"/>
  <c r="C15" i="10"/>
  <c r="D15" i="10" s="1"/>
  <c r="C93" i="17" s="1"/>
  <c r="C19" i="10"/>
  <c r="D19" i="10" s="1"/>
  <c r="C97" i="17" s="1"/>
  <c r="C23" i="10"/>
  <c r="D23" i="10" s="1"/>
  <c r="C101" i="17" s="1"/>
  <c r="C27" i="10"/>
  <c r="D27" i="10" s="1"/>
  <c r="C105" i="17" s="1"/>
  <c r="C13" i="16"/>
  <c r="C21" i="16"/>
  <c r="C29" i="16"/>
  <c r="C45" i="16"/>
  <c r="C77" i="16"/>
  <c r="C85" i="16"/>
  <c r="C93" i="16"/>
  <c r="C117" i="16"/>
  <c r="C125" i="16"/>
  <c r="C133" i="16"/>
  <c r="C15" i="9"/>
  <c r="D15" i="9" s="1"/>
  <c r="C66" i="17" s="1"/>
  <c r="C19" i="9"/>
  <c r="D19" i="9" s="1"/>
  <c r="C70" i="17" s="1"/>
  <c r="C14" i="16"/>
  <c r="C22" i="16"/>
  <c r="C94" i="16"/>
  <c r="C102" i="16"/>
  <c r="C29" i="4"/>
  <c r="F29" i="4" s="1"/>
  <c r="H29" i="4" s="1"/>
  <c r="I29" i="4" s="1"/>
  <c r="J29" i="4" s="1"/>
  <c r="C8" i="9"/>
  <c r="D8" i="9" s="1"/>
  <c r="C59" i="17" s="1"/>
  <c r="C12" i="9"/>
  <c r="D12" i="9" s="1"/>
  <c r="C63" i="17" s="1"/>
  <c r="C23" i="9"/>
  <c r="D23" i="9" s="1"/>
  <c r="C74" i="17" s="1"/>
  <c r="C27" i="9"/>
  <c r="D27" i="9" s="1"/>
  <c r="C78" i="17" s="1"/>
  <c r="C31" i="9"/>
  <c r="D31" i="9" s="1"/>
  <c r="C82" i="17" s="1"/>
  <c r="C23" i="16"/>
  <c r="C16" i="9"/>
  <c r="D16" i="9" s="1"/>
  <c r="C67" i="17" s="1"/>
  <c r="B29" i="11" l="1"/>
  <c r="C26" i="17"/>
  <c r="F25" i="4"/>
  <c r="H25" i="4" s="1"/>
  <c r="I25" i="4" s="1"/>
  <c r="J25" i="4" s="1"/>
  <c r="B20" i="11"/>
  <c r="C17" i="17"/>
  <c r="B13" i="11"/>
  <c r="C10" i="17"/>
  <c r="C28" i="17"/>
  <c r="B31" i="11"/>
  <c r="C27" i="17"/>
  <c r="B30" i="11"/>
  <c r="C13" i="17"/>
  <c r="B16" i="11"/>
  <c r="B10" i="11"/>
  <c r="C7" i="17"/>
  <c r="B12" i="11"/>
  <c r="C9" i="17"/>
  <c r="C6" i="17"/>
  <c r="B9" i="11"/>
  <c r="C16" i="17"/>
  <c r="B19" i="11"/>
  <c r="C20" i="17"/>
  <c r="B23" i="11"/>
  <c r="C5" i="17"/>
  <c r="B8" i="11"/>
  <c r="C24" i="17"/>
  <c r="B27" i="11"/>
  <c r="F6" i="4"/>
  <c r="H6" i="4" s="1"/>
  <c r="I6" i="4" s="1"/>
  <c r="J6" i="4" s="1"/>
  <c r="C19" i="17"/>
  <c r="B22" i="11"/>
  <c r="C47" i="16"/>
  <c r="C101" i="16"/>
  <c r="C20" i="16"/>
  <c r="C74" i="16"/>
  <c r="B21" i="11"/>
  <c r="C18" i="17"/>
  <c r="B5" i="11"/>
  <c r="C2" i="17"/>
  <c r="B26" i="11"/>
  <c r="C23" i="17"/>
  <c r="B18" i="11"/>
  <c r="C15" i="17"/>
  <c r="C8" i="17"/>
  <c r="B11" i="11"/>
  <c r="C12" i="17"/>
  <c r="B15" i="11"/>
  <c r="C30" i="6"/>
  <c r="D30" i="6" s="1"/>
  <c r="E30" i="6" s="1"/>
  <c r="F30" i="6" s="1"/>
  <c r="C54" i="17" s="1"/>
  <c r="C14" i="17"/>
  <c r="B17" i="11"/>
  <c r="C21" i="17"/>
  <c r="B24" i="11"/>
  <c r="C63" i="16"/>
  <c r="C36" i="16"/>
  <c r="C90" i="16"/>
  <c r="C9" i="16"/>
  <c r="B28" i="11"/>
  <c r="C25" i="17"/>
  <c r="F14" i="4"/>
  <c r="H14" i="4" s="1"/>
  <c r="I14" i="4" s="1"/>
  <c r="J14" i="4" s="1"/>
  <c r="C4" i="17"/>
  <c r="B7" i="11"/>
  <c r="C3" i="17" l="1"/>
  <c r="B6" i="11"/>
  <c r="C22" i="17"/>
  <c r="B25" i="11"/>
  <c r="C11" i="17"/>
  <c r="B14" i="11"/>
  <c r="B33" i="11" l="1"/>
  <c r="C6" i="11"/>
  <c r="D6" i="11" s="1"/>
  <c r="C111" i="17" s="1"/>
  <c r="C25" i="11"/>
  <c r="D25" i="11" s="1"/>
  <c r="C130" i="17" s="1"/>
  <c r="C28" i="11" l="1"/>
  <c r="D28" i="11" s="1"/>
  <c r="C133" i="17" s="1"/>
  <c r="C26" i="11"/>
  <c r="D26" i="11" s="1"/>
  <c r="C131" i="17" s="1"/>
  <c r="C7" i="11"/>
  <c r="D7" i="11" s="1"/>
  <c r="C112" i="17" s="1"/>
  <c r="C21" i="11"/>
  <c r="D21" i="11" s="1"/>
  <c r="C126" i="17" s="1"/>
  <c r="C24" i="11"/>
  <c r="D24" i="11" s="1"/>
  <c r="C129" i="17" s="1"/>
  <c r="C31" i="11"/>
  <c r="D31" i="11" s="1"/>
  <c r="C136" i="17" s="1"/>
  <c r="C29" i="11"/>
  <c r="D29" i="11" s="1"/>
  <c r="C134" i="17" s="1"/>
  <c r="C30" i="11"/>
  <c r="D30" i="11" s="1"/>
  <c r="C135" i="17" s="1"/>
  <c r="C12" i="11"/>
  <c r="D12" i="11" s="1"/>
  <c r="C117" i="17" s="1"/>
  <c r="C10" i="11"/>
  <c r="D10" i="11" s="1"/>
  <c r="C115" i="17" s="1"/>
  <c r="C22" i="11"/>
  <c r="D22" i="11" s="1"/>
  <c r="C127" i="17" s="1"/>
  <c r="C17" i="11"/>
  <c r="D17" i="11" s="1"/>
  <c r="C122" i="17" s="1"/>
  <c r="C18" i="11"/>
  <c r="D18" i="11" s="1"/>
  <c r="C123" i="17" s="1"/>
  <c r="C20" i="11"/>
  <c r="D20" i="11" s="1"/>
  <c r="C125" i="17" s="1"/>
  <c r="C9" i="11"/>
  <c r="D9" i="11" s="1"/>
  <c r="C114" i="17" s="1"/>
  <c r="C8" i="11"/>
  <c r="D8" i="11" s="1"/>
  <c r="C113" i="17" s="1"/>
  <c r="C5" i="11"/>
  <c r="D5" i="11" s="1"/>
  <c r="C110" i="17" s="1"/>
  <c r="C23" i="11"/>
  <c r="D23" i="11" s="1"/>
  <c r="C128" i="17" s="1"/>
  <c r="C11" i="11"/>
  <c r="D11" i="11" s="1"/>
  <c r="C116" i="17" s="1"/>
  <c r="C19" i="11"/>
  <c r="D19" i="11" s="1"/>
  <c r="C124" i="17" s="1"/>
  <c r="C16" i="11"/>
  <c r="D16" i="11" s="1"/>
  <c r="C121" i="17" s="1"/>
  <c r="C13" i="11"/>
  <c r="D13" i="11" s="1"/>
  <c r="C118" i="17" s="1"/>
  <c r="C27" i="11"/>
  <c r="D27" i="11" s="1"/>
  <c r="C132" i="17" s="1"/>
  <c r="C15" i="11"/>
  <c r="D15" i="11" s="1"/>
  <c r="C120" i="17" s="1"/>
  <c r="C14" i="11"/>
  <c r="D14" i="11" s="1"/>
  <c r="C119" i="17" s="1"/>
</calcChain>
</file>

<file path=xl/sharedStrings.xml><?xml version="1.0" encoding="utf-8"?>
<sst xmlns="http://schemas.openxmlformats.org/spreadsheetml/2006/main" count="1787" uniqueCount="485">
  <si>
    <t>Preços de energia por estado — tratamento de dados</t>
  </si>
  <si>
    <t>Insumo para a aba Fuel_Prices_State do Model_Config_12 (modelo v20_12)</t>
  </si>
  <si>
    <t>COMO USAR</t>
  </si>
  <si>
    <t>1. Vá em "Premissas" e confira/ajuste as células amarelas (ano-base, câmbio, poder calorífico, tributos, faixa de consumo).</t>
  </si>
  <si>
    <t>2. Em "EE_ANEEL", confira a coluna UF e a coluna Peso. Peso 1 = a distribuidora entra na média do estado; 0 = não entra.</t>
  </si>
  <si>
    <t>3. A aba "Fuel_Prices_State" recalcula sozinha. Copie as colunas A:D e cole na aba de mesmo nome do Model_Config_12.</t>
  </si>
  <si>
    <t>CONVENÇÃO DE COR</t>
  </si>
  <si>
    <t>Amarelo = célula de entrada, você edita.   Azul = número fixo digitado (premissa).   Preto = fórmula.   Verde = link de outra aba.</t>
  </si>
  <si>
    <t>DECISÕES METODOLÓGICAS EMBUTIDAS (todas revisáveis em "Premissas")</t>
  </si>
  <si>
    <t>• Ano-base: 2024. É o ano completo mais recente, tem média anual publicada nos dois lados (ANEEL e Boletim do Gás), e antecede o choque de preços de 2025-26. Alternativas: 2022, 2023 ou a média 2022-2024.</t>
  </si>
  <si>
    <t>• Eletricidade — filtro ANEEL: Subgrupo A4, modalidade Verde, Tarifa de Aplicação, Detalhe "Não se aplica", posto Fora ponta, unidade MWh. Preço = TUSD + TE. ATENÇÃO: não existe classe "Industrial" no dado da ANEEL — no Grupo A a tarifa não diferencia por classe, e indústria cai em "Não se aplica". O recorte industrial se faz pelo SUBGRUPO (tensão), não pela classe.</t>
  </si>
  <si>
    <t>• Por que A4 e não A3/A2: a modalidade Verde só existe até o subgrupo A4 (acima disso, só Azul). A4 é, portanto, o maior nível de tensão em que a comparação Verde é possível. Plantas muito grandes conectam em A3/A2 e pagam menos — ver pendências.</t>
  </si>
  <si>
    <t>• Por que Fora ponta: a TUSD de ponta na modalidade Verde é punitiva (1.000 a 1.900 R$/MWh contra 100-150 fora ponta), justamente para afastar carga do horário de pico. Siderúrgica é carga de base e opera ~91% das horas fora de ponta.</t>
  </si>
  <si>
    <t>• Gás — o gráfico "Industrial 20.000 m³/dia" do Boletim é de DEZEMBRO, não a média do ano. Verificado: a média simples dos 19 valores reproduz exatamente o valor nacional publicado do mês (dez/24: 16,77 calculado vs 16,76 publicado; o mesmo vale para dez/22, dez/23 e set/25).</t>
  </si>
  <si>
    <t>• Método da razão (gás): usa-se o gráfico de dezembro para a ESTRUTURA (quanto cada estado desvia da média nacional) e a tabela de média anual para o NÍVEL. Preço_UF(ano) = [Preço_UF(dez) ÷ Nacional(dez)] × Nacional(média do ano). Justificativa: a dispersão entre distribuidoras vem da margem de distribuição e do ICMS, estáveis dentro do ano; o nível se move com a molécula, comum a todos. Como a razão é adimensional, o câmbio se cancela na estrutura e entra uma única vez no nível.</t>
  </si>
  <si>
    <t>• Tributos: convenção única SEM tributos, aplicada aos dois insumos. A tarifa ANEEL já é sem tributos; o preço do gás do Boletim é COM tributos e é convertido usando a participação de impostos por região publicada no próprio Boletim (pág. 16). Isso elimina o viés artificial entre eletricidade e gás.</t>
  </si>
  <si>
    <t>• Base energética: PCI (LHV), coerente com os fatores de emissão do modelo, que são defaults do IPCC (base NCV). ATENÇÃO: o Boletim do Gás converte R$/m³ para US$/MMBtu usando PCS de 9.400 kcal/m³ (verificado por reconstrução do cálculo). Usar o US$/MMBtu do Boletim direto embutiria base PCS num modelo PCI e subestimaria o gás em ~10%. Aqui a conversão parte do R$/m³ e usa PCI.</t>
  </si>
  <si>
    <t>O QUE VOCÊ PRECISA CONFERIR</t>
  </si>
  <si>
    <t>a) Câmbio R$/US$ (Premissas, B7:B9) — coloquei estimativas de média anual. Confirme no SGS/Bacen e cite a série.</t>
  </si>
  <si>
    <t>b) Coluna UF em "EE_ANEEL" — mapeei as principais concessionárias. As linhas marcadas VERIFICAR não foram identificadas com segurança.</t>
  </si>
  <si>
    <t>c) Coluna Peso em "EE_ANEEL" — por padrão só as concessionárias principais de cada estado têm peso 1. Cooperativas e permissionárias pequenas têm peso 0: uma siderúrgica não se conecta a uma cooperativa rural. Ajuste se discordar.</t>
  </si>
  <si>
    <t>d) Os valores do gás em "GN_Boletim" foram lidos dos gráficos dos PDFs. Cada ano passou no teste de soma contra o valor nacional publicado, mas confira ao menos os estados com plantas (CE, ES, MG, RJ, SP) contra o PDF.</t>
  </si>
  <si>
    <t>AVISO IMPORTANTE SOBRE O IMPACTO NO MODELO</t>
  </si>
  <si>
    <t>Gás natural: o placeholder do modelo é 13,3 US$/GJ. A média nacional que sai deste tratamento para 2024 (sem tributos, faixa 50.000, base PCI) fica em torno de 13,5 US$/GJ. Praticamente igual — o placeholder já parecia estar nessa convenção. O que muda não é o nível, é a dispersão: de 10,6 (AM, sistema isolado) a 15,9 US$/GJ (RJ).</t>
  </si>
  <si>
    <t>Eletricidade: o placeholder é 35,8 US$/GJ. A média nacional deste tratamento é ~19,9 US$/GJ — cerca de 45% menor. A diferença é compatível com tributos, parcela de demanda e encargos, que a tarifa TUSD+TE não inclui.</t>
  </si>
  <si>
    <t>A leitura disso é a confirmação, com dado na mão, da pendência 6 do documento de método: o par de placeholders atual JÁ MISTURA convenções — eletricidade aparentemente COM tributos, gás SEM. Adotar a convenção única SEM barateia a eletricidade em ~45% e mantém o gás, o que favorece as rotas eletrointensivas (EAF, DR-H2) frente à DR-NG. É uma mudança material de resultado, não um detalhe de planilha. Rode o modelo com o placeholder e com o dado novo e compare antes de concluir qualquer coisa sobre localização.</t>
  </si>
  <si>
    <t>LIMITAÇÕES CONHECIDAS (registrar no artigo)</t>
  </si>
  <si>
    <t>• Mercado cativo: a tarifa ANEEL é regulada; siderúrgicas integradas compram no mercado livre. O nível fica superestimado, mas a estrutura relativa entre estados se mantém (a TUSD é paga também no livre).</t>
  </si>
  <si>
    <t>• Demanda: a parcela de demanda da TUSD (R$/kW) não entra no preço em R$/MWh. Para carga de base com alto fator de carga ela adiciona algo entre 5% e 10%. A tarifa de demanda está na coluna kW de "EE_ANEEL" para quem quiser incorporar.</t>
  </si>
  <si>
    <t>• Faixa de consumo do gás: a maior faixa publicada é 50.000 m³/dia. Uma planta DR-NG de 1 Mt/ano consome ~700-800 mil m³/dia. Mesmo a maior faixa superestima o preço de uma siderúrgica.</t>
  </si>
  <si>
    <t>• Estados sem rede de gás: 10 das 27 UFs não têm distribuidora com movimentação. Elas ficam sem preço próprio e herdam o nacional — ver a coluna Source_note. Esses são candidatos naturais a serem excluídos de DR-NG por critério de infraestrutura.</t>
  </si>
  <si>
    <t>• Cigás (AM) e Mtgás (MT) são sistemas isolados, fora da malha integrada de transporte. Preço baixo, mas implausível para DR-NG.</t>
  </si>
  <si>
    <t>FONTES</t>
  </si>
  <si>
    <t>ANEEL. Tarifas homologadas das distribuidoras de energia elétrica. Portal de Dados Abertos (dadosabertos.aneel.gov.br). Extração do conjunto gerado em 10/07/2026.</t>
  </si>
  <si>
    <t>MME/SPG. Boletim Mensal de Acompanhamento da Indústria de Gás Natural. Edições nº 190 (dez/2022), 202 (dez/2023), 214 (dez/2024) e 223 (set/2025).</t>
  </si>
  <si>
    <t>ADIÇÕES v2 — CARVÃO METALÚRGICO E ÓLEO DIESEL</t>
  </si>
  <si>
    <t>- Carvão metalúrgico: nível = CIF nacional Comex Stat (NCM 2701.12.00) do ano-base; diferenciação estadual = frete ferroviário porto-&gt;usina (tarifas de referência ANTT: MRS Delib. 54/2024; EFVM Delib. 99/2022 x fator de atualização).</t>
  </si>
  <si>
    <t>- Frete aplicado só a MG e RJ (ponderado por capacidade). Plantas litorâneas (ES, CE, parte do RJ) pagam CIF puro; demais UFs sem planta a carvão: CIF puro por hipótese.</t>
  </si>
  <si>
    <t>- Decisão de tributos do carvão: CIF puro (II=0%; ICMS-importação de insumo em geral diferido). Tarifas ferroviárias sem ICMS conforme publicadas — se revisar a convenção COM, gross-up nas duas pontas.</t>
  </si>
  <si>
    <t>- Óleo diesel: método da razão — estrutura ANP SLP (revenda 2024 por UF) sobre o nível nacional do Model_Config (22 USD/GJ), porque revenda embute margem varejista.</t>
  </si>
  <si>
    <t>- PENDENTE CONFERIR: PCI do carvão metalúrgico importado no BEN (Premissas!C34) e fator de atualização da tabela EFVM p/ 2024 (CM_Frete!B8).</t>
  </si>
  <si>
    <t>- No script (v20_13): incluir "Carvao_mineral" e "Oleo_diesel" em STATE_PRICED_FUELS para o modelo ler os novos preços por estado.</t>
  </si>
  <si>
    <t>HIDROGÊNIO — PREÇO POR UF E ELEGIBILIDADE GEOGRÁFICA</t>
  </si>
  <si>
    <t>- Preço (condição suficiente): razão amortecida sobre a eletricidade por UF — H2(UF) = 41,6 x [alfa x EE(UF)/EE(nac) + (1-alfa)], alfa ~0,72 (fração eletricidade no LCOH; IEA/IRENA). Aba H2_por_UF.</t>
  </si>
  <si>
    <t>- Elegibilidade (condição necessária): DR-H2 permitido apenas em UFs com hub de H2 divulgado — tratada no script (H2_ALLOWED_STATES do v20_13), não no preço.</t>
  </si>
  <si>
    <t>- Lista de UFs com hub e fontes: MME/PNH2 chamada pública de hubs — 1ª fase dez/2024 (12 projetos classificados, incl. portos de Suape/PE e Açu/RJ) e priorização ago/2025 p/ CIF-ID (CSN H2Orizonte Verde/RJ — aço; Neoenergia Camaçari/BA; Copel B2H2/PR; Atlas Agro Uberaba/MG; Cemig/MG). Complementos: Pecém/CE (hub H2V com pré-contratos; AM Pecém no complexo), Tubarão/ES (MoU AM Tubarão + EDP), Rio Grande/RS (programa estadual; ICCT), Itaqui/MA, Parnaíba/PI, RN (CNI/SENAI-RN).</t>
  </si>
  <si>
    <t>- PENDENTE: fixar alfa com fonte específica (IEA GHR ou IRENA, ano) e congelar a lista de hubs com as referências completas para a metodologia da tese.</t>
  </si>
  <si>
    <t>MINÉRIO DE FERRO E PELOTA — MÉTODO DELTA (v2)</t>
  </si>
  <si>
    <t>- Princípio: o custo do minério já está embutido na OPEX das rotas (estudos-fonte não desagregam matérias-primas). Só DIFERENÇAS entre UFs entram no modelo — nunca o custo cheio (evita dupla contagem). O nível embutido, desconhecido, é constante por rota e cancela em toda comparação entre estados.</t>
  </si>
  <si>
    <t>- Duas famílias/âncoras: minério comum -&gt; âncora MG (BF-BOF MC/CC/CCS + IBT; intensidade ~1,6 t/t); pelota DR-grade -&gt; âncora ES/Tubarão (DR-NG e DR-H2; ~1,45 t/t). EAF: imune. Geografia da aglomeração (verificada 07/2026): 11 pelotizadoras no Brasil — 8 ES, 2 MG, 1 MA (São Luís, insumo de Carajás/PA); Marabá tem mina, não pelotizadora.</t>
  </si>
  <si>
    <t>- Cadeia de cálculo: Minerio_ANM (preço de mina por UF — PENDENTE download AMB/ANM) + Ore_Frete (tarifas ANTT já extraídas: MRS Delib. 54/2024; EFVM Delib. 99/2022 x fator) -&gt; Ore_por_UF -&gt; saída Ore_Cost_State (rota x UF).</t>
  </si>
  <si>
    <t>- Pelota: Pelota_Comex — PENDENTE download Comex exportação NCM 2601.12.00 por UF de origem (ES vs MA); delta MA = FOB São Luís - FOB Tubarão.</t>
  </si>
  <si>
    <t>- PENDENTES: (1) AMB/ANM por UF; (2) Comex pelota; (3) premissa de cabotagem (Premissas!C49, hoje 0); (4) conferir/citar intensidades (Premissas!C47:C48); (5) distâncias Casa de Pedra estimadas por marcos — refinar; (6) novo leitor + termo na função objetivo do v20_13 (aba Ore_Cost_State); (7) figura metodológica das "caixas fechadas" para a tese.</t>
  </si>
  <si>
    <t>- Trabalho futuro registrado: briquete verde da Vale (2 usinas em Tubarão, ~6 Mt/ano) como aglomeração alternativa p/ DR — hoje reforça a âncora ES.</t>
  </si>
  <si>
    <t>Premissas</t>
  </si>
  <si>
    <t>Premissa</t>
  </si>
  <si>
    <t>Valor</t>
  </si>
  <si>
    <t>Nota / fonte</t>
  </si>
  <si>
    <t>ANO-BASE</t>
  </si>
  <si>
    <t>Ano de referência</t>
  </si>
  <si>
    <t>Digite 2022, 2023, 2024 ou 0 para média 2022-2024. Recomendado: 2024.</t>
  </si>
  <si>
    <t>CÂMBIO (média anual R$/US$)</t>
  </si>
  <si>
    <t>R$/US$ 2022</t>
  </si>
  <si>
    <t>CONFERIR no SGS/Bacen (série 3698, média do ano) e citar.</t>
  </si>
  <si>
    <t>R$/US$ 2023</t>
  </si>
  <si>
    <t>CONFERIR no SGS/Bacen.</t>
  </si>
  <si>
    <t>R$/US$ 2024</t>
  </si>
  <si>
    <t>PODER CALORÍFICO DO GÁS</t>
  </si>
  <si>
    <t>PCI (kcal/m³)</t>
  </si>
  <si>
    <t>Base do modelo (LHV). Coerente com os fatores de emissão IPCC, que são NCV.</t>
  </si>
  <si>
    <t>PCS (kcal/m³)</t>
  </si>
  <si>
    <t>Base usada pelo Boletim do Gás. Verificado por reconstrução: 3,812 R$/m³ ÷ 6,097 = 16,761 US$/MMBtu exige PCS 9.400.</t>
  </si>
  <si>
    <t>kcal -&gt; GJ</t>
  </si>
  <si>
    <t>Constante. 1 kcal = 4,1868 J.</t>
  </si>
  <si>
    <t>PCI em GJ/m³</t>
  </si>
  <si>
    <t>Calculado.</t>
  </si>
  <si>
    <t>FAIXA DE CONSUMO DO GÁS</t>
  </si>
  <si>
    <t>Faixa para ancorar o nível</t>
  </si>
  <si>
    <t>Digite 20000 ou 50000. Recomendado 50000: maior faixa publicada, mais próxima do porte siderúrgico.</t>
  </si>
  <si>
    <t>TRIBUTOS</t>
  </si>
  <si>
    <t>Convenção</t>
  </si>
  <si>
    <t>COM</t>
  </si>
  <si>
    <t>Digite SEM ou COM. Deve ser a mesma para eletricidade e gás. Escolhido: COM. A planta desembolsa o tributo; excluir subdimensiona o custo. Nota: ICMS sobre insumo industrial e parcialmente creditavel, logo COM superestima o custo liquido — vies conservador deliberado.</t>
  </si>
  <si>
    <t>OUTROS</t>
  </si>
  <si>
    <t>MWh -&gt; GJ</t>
  </si>
  <si>
    <t>Constante.</t>
  </si>
  <si>
    <t>DERIVADOS (não editar)</t>
  </si>
  <si>
    <t>Câmbio do ano-base</t>
  </si>
  <si>
    <t>Se ano-base = 0, usa a média dos três anos.</t>
  </si>
  <si>
    <t>TRIBUTOS E DEMANDA — ELETRICIDADE</t>
  </si>
  <si>
    <t>ICMS padrão (%)</t>
  </si>
  <si>
    <t>PREENCHER. Alíquota modal do estado sobre energia elétrica. Pode ser sobrescrita por UF na aba EE_por_UF. Fonte: CONFAZ / legislação estadual.</t>
  </si>
  <si>
    <t>PIS/Cofins (%)</t>
  </si>
  <si>
    <t>PREENCHER. Alíquota efetiva sobre a tarifa; varia mês a mês no regime não-cumulativo. Confirmar.</t>
  </si>
  <si>
    <t>Incluir parcela de demanda?</t>
  </si>
  <si>
    <t>SIM</t>
  </si>
  <si>
    <t>SIM ou NAO. A TUSD de demanda (R$/kW) não está no preço em R$/MWh e é custo real da planta.</t>
  </si>
  <si>
    <t>Fator de carga</t>
  </si>
  <si>
    <t>Usado para converter R$/kW em R$/MWh. Siderúrgica opera em base; 0,90 é premissa.</t>
  </si>
  <si>
    <t>Gross-up: tarifa com tributos = tarifa sem / (1 - ICMS - PIS/Cofins). Cálculo "por dentro", padrão brasileiro.</t>
  </si>
  <si>
    <t>CARVÃO METALÚRGICO IMPORTADO</t>
  </si>
  <si>
    <t>PCI carvão metalúrgico (kcal/kg)</t>
  </si>
  <si>
    <t>CONFERIR: fator de conversão do BEN/EPE para carvão metalúrgico importado</t>
  </si>
  <si>
    <t>PCI em GJ/t</t>
  </si>
  <si>
    <t>Tributos sobre o CIF</t>
  </si>
  <si>
    <t>CIF puro</t>
  </si>
  <si>
    <t>II (TEC) = 0% p/ NCM 2701.12.00; ICMS-importação de insumo industrial em geral diferido (MG/ES/RJ/CE). Convenção COM atendida pelo CIF. Documentar se revisar.</t>
  </si>
  <si>
    <t>ÓLEO DIESEL</t>
  </si>
  <si>
    <t>Preço nacional no Model_Config (USD/GJ)</t>
  </si>
  <si>
    <t>Nível da Fuel_Prices do Model_Config_12 (ancoragem do método da razão; ANP revenda só dá a estrutura relativa entre UFs)</t>
  </si>
  <si>
    <t>HIDROGÊNIO ELETROLÍTICO</t>
  </si>
  <si>
    <t>Nível da Fuel_Prices do Model_Config_12</t>
  </si>
  <si>
    <t>Alfa: fração eletricidade no LCOH</t>
  </si>
  <si>
    <t>Eletricidade responde por ~60-80% do LCOH eletrolítico (IEA Global Hydrogen Review; IRENA Green Hydrogen Cost Reduction). CITAR fonte específica e ano na tese.</t>
  </si>
  <si>
    <t>Razão amortecida: H2(UF) = nível x [alfa x EE(UF)/EE(nac) + (1-alfa)]. Só a parcela elétrica do custo varia com a UF; CAPEX do eletrolisador, água e O&amp;M não.</t>
  </si>
  <si>
    <t>MINÉRIO DE FERRO E PELOTA (método delta)</t>
  </si>
  <si>
    <t>Intensidade minério — família BF/IBT (t/t aço)</t>
  </si>
  <si>
    <t>BF-BOF MC/CC/CCS + IBT. Coeficiente técnico típico — CONFERIR e citar (worldsteel/IEA/refs do modelo)</t>
  </si>
  <si>
    <t>Intensidade pelota — família DR (t/t aço)</t>
  </si>
  <si>
    <t>DR-NG e DR-H2, pelota DR-grade (Fe&gt;67%). CONFERIR e citar</t>
  </si>
  <si>
    <t>Cabotagem minério/pelota (US$/t)</t>
  </si>
  <si>
    <t>PENDENTE — definir proxy documentado (spread CIF-FOB Comex ou literatura). 0 = sem diferencial marítimo nesta versão</t>
  </si>
  <si>
    <t>Âncoras (delta = 0): MG p/ minério comum (frota BF dominante; fretes intraestaduais curtos desprezados) e ES p/ pelota (pelotizadoras de Tubarão). Só diferenças entre UFs entram no modelo — o custo cheio permanece embutido na OPEX das rotas.</t>
  </si>
  <si>
    <t>Eletricidade — ANEEL, tarifas homologadas (Subgrupo A4, Verde, Tarifa de Aplicação, Fora ponta, MWh)</t>
  </si>
  <si>
    <t>Valores vigentes em 31/12 de cada ano, em R$/MWh. Preço = TUSD + TE (sem tributos). Colunas amarelas: você edita. UF "VERIFICAR" = não identifiquei a distribuidora com segurança.</t>
  </si>
  <si>
    <t>Distribuidora (SigAgente)</t>
  </si>
  <si>
    <t>UF</t>
  </si>
  <si>
    <t>Peso</t>
  </si>
  <si>
    <t>Tipo</t>
  </si>
  <si>
    <t>TUSD 2022</t>
  </si>
  <si>
    <t>TE 2022</t>
  </si>
  <si>
    <t>Total 2022</t>
  </si>
  <si>
    <t>TUSD 2023</t>
  </si>
  <si>
    <t>TE 2023</t>
  </si>
  <si>
    <t>Total 2023</t>
  </si>
  <si>
    <t>TUSD 2024</t>
  </si>
  <si>
    <t>TE 2024</t>
  </si>
  <si>
    <t>Total 2024</t>
  </si>
  <si>
    <t>Total ano-base</t>
  </si>
  <si>
    <t>TUSD demanda 2024 (R$/kW)</t>
  </si>
  <si>
    <t>CASTRO-DIS</t>
  </si>
  <si>
    <t>PR</t>
  </si>
  <si>
    <t>Menor porte</t>
  </si>
  <si>
    <t>CEA</t>
  </si>
  <si>
    <t>AP</t>
  </si>
  <si>
    <t>Concessionária</t>
  </si>
  <si>
    <t>CEDRAP</t>
  </si>
  <si>
    <t>VERIFICAR</t>
  </si>
  <si>
    <t>Cooperativa/Perm.</t>
  </si>
  <si>
    <t>CEDRI</t>
  </si>
  <si>
    <t>CEEE-D</t>
  </si>
  <si>
    <t>RS</t>
  </si>
  <si>
    <t>CEGERO</t>
  </si>
  <si>
    <t>CEJAMA</t>
  </si>
  <si>
    <t>CELESC</t>
  </si>
  <si>
    <t>SC</t>
  </si>
  <si>
    <t>CELETRO</t>
  </si>
  <si>
    <t>CEMIG-D</t>
  </si>
  <si>
    <t>MG</t>
  </si>
  <si>
    <t>CEMIRIM</t>
  </si>
  <si>
    <t>CEPRAG</t>
  </si>
  <si>
    <t>CERAL ANITÁPOLIS</t>
  </si>
  <si>
    <t>CERAL ARARUAMA</t>
  </si>
  <si>
    <t>CERAL-DIS</t>
  </si>
  <si>
    <t>CERBRANORTE</t>
  </si>
  <si>
    <t>CERCI</t>
  </si>
  <si>
    <t>CERCOS</t>
  </si>
  <si>
    <t>CEREJ</t>
  </si>
  <si>
    <t>CERES</t>
  </si>
  <si>
    <t>CERFOX</t>
  </si>
  <si>
    <t>CERGAL</t>
  </si>
  <si>
    <t>CERGAPA</t>
  </si>
  <si>
    <t>CERGRAL</t>
  </si>
  <si>
    <t>CERILUZ</t>
  </si>
  <si>
    <t>CERIM</t>
  </si>
  <si>
    <t>CERIPa</t>
  </si>
  <si>
    <t>CERIS</t>
  </si>
  <si>
    <t>CERMC</t>
  </si>
  <si>
    <t>CERMISSÕES</t>
  </si>
  <si>
    <t>CERMOFUL</t>
  </si>
  <si>
    <t>CERNHE</t>
  </si>
  <si>
    <t>CERPALO</t>
  </si>
  <si>
    <t>CERPRO</t>
  </si>
  <si>
    <t>CERRP</t>
  </si>
  <si>
    <t>CERSAD DISTRIBUI</t>
  </si>
  <si>
    <t>CERSUL</t>
  </si>
  <si>
    <t>CERTAJA</t>
  </si>
  <si>
    <t>CERTEL ENERGIA</t>
  </si>
  <si>
    <t>CERTHIL</t>
  </si>
  <si>
    <t>CERTREL</t>
  </si>
  <si>
    <t>CERVAM</t>
  </si>
  <si>
    <t>CETRIL</t>
  </si>
  <si>
    <t>CHESP</t>
  </si>
  <si>
    <t>GO</t>
  </si>
  <si>
    <t>COCEL</t>
  </si>
  <si>
    <t>CODESAM</t>
  </si>
  <si>
    <t>COELBA</t>
  </si>
  <si>
    <t>BA</t>
  </si>
  <si>
    <t>COOPERA</t>
  </si>
  <si>
    <t>COOPERALIANÇA</t>
  </si>
  <si>
    <t>COOPERCOCAL</t>
  </si>
  <si>
    <t>COOPERLUZ</t>
  </si>
  <si>
    <t>COOPERMILA</t>
  </si>
  <si>
    <t>COOPERNORTE</t>
  </si>
  <si>
    <t>COOPERSUL</t>
  </si>
  <si>
    <t>COOPERZEM</t>
  </si>
  <si>
    <t>COORSEL</t>
  </si>
  <si>
    <t>COPEL-DIS</t>
  </si>
  <si>
    <t>COPREL</t>
  </si>
  <si>
    <t>COSERN</t>
  </si>
  <si>
    <t>RN</t>
  </si>
  <si>
    <t>CPFL Santa Cruz</t>
  </si>
  <si>
    <t>SP</t>
  </si>
  <si>
    <t>CPFL-PAULISTA</t>
  </si>
  <si>
    <t>CPFL-PIRATINING</t>
  </si>
  <si>
    <t>CRELUZ-D</t>
  </si>
  <si>
    <t>Ceraçá</t>
  </si>
  <si>
    <t>DCELT</t>
  </si>
  <si>
    <t>DEMEI</t>
  </si>
  <si>
    <t>DMED</t>
  </si>
  <si>
    <t>EAC</t>
  </si>
  <si>
    <t>AC</t>
  </si>
  <si>
    <t>EDP ES</t>
  </si>
  <si>
    <t>ES</t>
  </si>
  <si>
    <t>EDP SP</t>
  </si>
  <si>
    <t>EFLJC</t>
  </si>
  <si>
    <t>EFLUL</t>
  </si>
  <si>
    <t>ELEKTRO</t>
  </si>
  <si>
    <t>ELETROCAR</t>
  </si>
  <si>
    <t>ELETROPAULO</t>
  </si>
  <si>
    <t>ELFSM</t>
  </si>
  <si>
    <t>EMR</t>
  </si>
  <si>
    <t>EMS</t>
  </si>
  <si>
    <t>MS</t>
  </si>
  <si>
    <t>EMT</t>
  </si>
  <si>
    <t>MT</t>
  </si>
  <si>
    <t>ENEL CE</t>
  </si>
  <si>
    <t>CE</t>
  </si>
  <si>
    <t>ENEL RJ</t>
  </si>
  <si>
    <t>RJ</t>
  </si>
  <si>
    <t>EPB</t>
  </si>
  <si>
    <t>PB</t>
  </si>
  <si>
    <t>EQUATORIAL AL</t>
  </si>
  <si>
    <t>AL</t>
  </si>
  <si>
    <t>EQUATORIAL GO</t>
  </si>
  <si>
    <t>EQUATORIAL MA</t>
  </si>
  <si>
    <t>MA</t>
  </si>
  <si>
    <t>EQUATORIAL PA</t>
  </si>
  <si>
    <t>PA</t>
  </si>
  <si>
    <t>EQUATORIAL PI</t>
  </si>
  <si>
    <t>PI</t>
  </si>
  <si>
    <t>ERO</t>
  </si>
  <si>
    <t>RO</t>
  </si>
  <si>
    <t>ESE</t>
  </si>
  <si>
    <t>SE</t>
  </si>
  <si>
    <t>ESS</t>
  </si>
  <si>
    <t>ETO</t>
  </si>
  <si>
    <t>TO</t>
  </si>
  <si>
    <t>HIDROPAN</t>
  </si>
  <si>
    <t>LIGHT SESA</t>
  </si>
  <si>
    <t>MUXENERGIA</t>
  </si>
  <si>
    <t>Neoenergia Brasília</t>
  </si>
  <si>
    <t>DF</t>
  </si>
  <si>
    <t>Neoenergia PE</t>
  </si>
  <si>
    <t>PE</t>
  </si>
  <si>
    <t>Não Informado</t>
  </si>
  <si>
    <t>PACTO ENERGIA PR</t>
  </si>
  <si>
    <t>RGE</t>
  </si>
  <si>
    <t>SULGIPE</t>
  </si>
  <si>
    <t>UHENPAL</t>
  </si>
  <si>
    <t>ÂMBAR ENERGIA RR</t>
  </si>
  <si>
    <t>RR</t>
  </si>
  <si>
    <t>Âmbar Amazonas</t>
  </si>
  <si>
    <t>AM</t>
  </si>
  <si>
    <t>Eletricidade por UF</t>
  </si>
  <si>
    <t>Média das distribuidoras com Peso = 1 em EE_ANEEL. Coluna G (ICMS) é amarela: sobrescreva por UF. UF sem nenhuma distribuidora marcada herda a média nacional.</t>
  </si>
  <si>
    <t>N distrib. (peso 1)</t>
  </si>
  <si>
    <t>TUSD+TE fora ponta (R$/MWh)</t>
  </si>
  <si>
    <t>TUSD demanda (R$/kW)</t>
  </si>
  <si>
    <t>Adicional de demanda (R$/MWh)</t>
  </si>
  <si>
    <t>Subtotal sem tributos (R$/MWh)</t>
  </si>
  <si>
    <t>ICMS (%)</t>
  </si>
  <si>
    <t>Total conforme convenção (R$/MWh)</t>
  </si>
  <si>
    <t>R$/GJ</t>
  </si>
  <si>
    <t>USD/GJ</t>
  </si>
  <si>
    <t>Usa fallback nacional?</t>
  </si>
  <si>
    <t>Média nacional</t>
  </si>
  <si>
    <t>Gás natural — Boletim Mensal do Gás (MME), segmento industrial 20.000 m³/dia, US$/MMBtu, COM tributos</t>
  </si>
  <si>
    <t>Valores lidos dos gráficos "Preço do Gás Natural ao Consumidor Final - Por Distribuidora" de cada edição. São observações de DEZEMBRO (set/2025 na última coluna), não médias anuais. Servem apenas para a ESTRUTURA relativa.</t>
  </si>
  <si>
    <t>Distribuidora</t>
  </si>
  <si>
    <t>Região</t>
  </si>
  <si>
    <t>dez/2022</t>
  </si>
  <si>
    <t>dez/2023</t>
  </si>
  <si>
    <t>dez/2024</t>
  </si>
  <si>
    <t>set/2025</t>
  </si>
  <si>
    <t>Obs ano-base</t>
  </si>
  <si>
    <t>Razão vs nacional</t>
  </si>
  <si>
    <t>Algás</t>
  </si>
  <si>
    <t>Nordeste</t>
  </si>
  <si>
    <t>Bahiagás</t>
  </si>
  <si>
    <t>ES GÁS</t>
  </si>
  <si>
    <t>Sudeste</t>
  </si>
  <si>
    <t>Ceg</t>
  </si>
  <si>
    <t>Ceg Rio</t>
  </si>
  <si>
    <t>Cegás</t>
  </si>
  <si>
    <t>Comgás</t>
  </si>
  <si>
    <t>Copergás</t>
  </si>
  <si>
    <t>Pbgás</t>
  </si>
  <si>
    <t>Potigás</t>
  </si>
  <si>
    <t>Sergás</t>
  </si>
  <si>
    <t>Gasmig</t>
  </si>
  <si>
    <t>São Paulo Sul</t>
  </si>
  <si>
    <t>Gás Brasiliano</t>
  </si>
  <si>
    <t>Compagás</t>
  </si>
  <si>
    <t>Sul</t>
  </si>
  <si>
    <t>Msgás</t>
  </si>
  <si>
    <t>Centro-Oeste</t>
  </si>
  <si>
    <t>Scgás</t>
  </si>
  <si>
    <t>Sulgás</t>
  </si>
  <si>
    <t>Cigás</t>
  </si>
  <si>
    <t>Norte</t>
  </si>
  <si>
    <t>VERIFICAÇÃO E ÂNCORAS NACIONAIS</t>
  </si>
  <si>
    <t>Média simples calculada (dez do ano-base)</t>
  </si>
  <si>
    <t>Nacional publicado no Boletim, 20.000 m³/d, dez (US$/MMBtu)</t>
  </si>
  <si>
    <t>Nacional do ano-base (denominador da razão)</t>
  </si>
  <si>
    <t>Diferença calculado - publicado (deve ser ~0)</t>
  </si>
  <si>
    <t>Teste de leitura dos gráficos. Verificado: dez/22 20,99 vs 20,98 | dez/23 20,22 vs 20,22 | dez/24 16,77 vs 16,76 | set/25 19,45 vs 19,44.</t>
  </si>
  <si>
    <t>NÍVEL — média anual nacional publicada (R$/m³, com tributos)</t>
  </si>
  <si>
    <t>Faixa 20.000 m³/dia</t>
  </si>
  <si>
    <t>Faixa 50.000 m³/dia</t>
  </si>
  <si>
    <t>Média anual do ano-base, faixa escolhida (R$/m³)</t>
  </si>
  <si>
    <t>Fonte: Boletim do Gás, "Histórico de Preços - Segmento Industrial", linha Média Nacional (R$/m³).</t>
  </si>
  <si>
    <t>TRIBUTOS — participação de impostos no preço industrial 20.000 m³/d, por região</t>
  </si>
  <si>
    <t>Sem imposto</t>
  </si>
  <si>
    <t>Imposto</t>
  </si>
  <si>
    <t>% imposto</t>
  </si>
  <si>
    <t>Fonte: Boletim do Gás dez/2024, "Competitividade do Gás Natural — preços ao consumidor final (R$/MMBTU)", gráfico "Gás industrial 20.000 m³/dia". Centro-Oeste não foi publicado em dez/2024; valor de set/2025.</t>
  </si>
  <si>
    <t>Gás natural por UF — método da razão</t>
  </si>
  <si>
    <t>Preço_UF = razão(estrutura de dezembro) × nível(média anual nacional). UF sem distribuidora com movimentação herda o nacional.</t>
  </si>
  <si>
    <t>Razão média das distribuidoras da UF</t>
  </si>
  <si>
    <t>R$/m³ (com tributos)</t>
  </si>
  <si>
    <t>R$/m³ (conforme convenção)</t>
  </si>
  <si>
    <t>USD/GJ base PCI</t>
  </si>
  <si>
    <t>Carvão metalúrgico importado — Comex Stat (MDIC), NCM 2701.12.00, Brasil</t>
  </si>
  <si>
    <t>Hulha betuminosa, não aglomerada. Importações nacionais, consulta geral. CIF = FOB + frete + seguro, sem tributos internos (ver Premissas!B36). Fonte: comexstat.mdic.gov.br, extração 16/07/2026. CIF por porto/UF não diferenciado: carvão transoceânico é commodity global; a diferenciação estadual vem do frete interno (CM_Frete).</t>
  </si>
  <si>
    <t>Ano</t>
  </si>
  <si>
    <t>US$ CIF</t>
  </si>
  <si>
    <t>kg líquido</t>
  </si>
  <si>
    <t>CIF US$/t</t>
  </si>
  <si>
    <t>US$ FOB</t>
  </si>
  <si>
    <t>FOB US$/t</t>
  </si>
  <si>
    <t>CIF do ano-base (US$/t)</t>
  </si>
  <si>
    <t>Ano-base = 0 em Premissas!C6 usa a média 2022–2024.</t>
  </si>
  <si>
    <t>Frete ferroviário porto -&gt; usina — tarifas de referência ANTT (carvão mineral)</t>
  </si>
  <si>
    <t>Tarifa = parcela fixa (R$/t) + parcela variável (R$/t.km) x distância. Tarifas máximas homologadas pela ANTT, sem ICMS (Lei 13.673/2018). Distâncias somadas a partir dos marcos quilométricos das Declarações de Rede 2025 (MRS e EFVM) e do marco da estação Intendente Câmara (km 447 da EFVM). Células amarelas: editáveis.</t>
  </si>
  <si>
    <t>TARIFAS</t>
  </si>
  <si>
    <t>Ferrovia</t>
  </si>
  <si>
    <t>Fixa R$/t</t>
  </si>
  <si>
    <t>Variável R$/t.km</t>
  </si>
  <si>
    <t>Fonte</t>
  </si>
  <si>
    <t>MRS</t>
  </si>
  <si>
    <t>CARVAO MINERAL, Deliberação ANTT nº 54/2024, vigente 29/07/2024–28/07/2025 (31/12/2024)</t>
  </si>
  <si>
    <t>EFVM</t>
  </si>
  <si>
    <t>CARVÃO MINERAL, Deliberação ANTT nº 99/2022 (vigência 21/12/2022), simulador tarifário Vale</t>
  </si>
  <si>
    <t>Fator de atualização EFVM p/ ano-base</t>
  </si>
  <si>
    <t>IPCA 2023 (4,62%) x 2024 (4,83%). Usar 1,0 para manter a tabela como publicada. CONFERIR deliberação de reajuste EFVM vigente em 2024.</t>
  </si>
  <si>
    <t>FLUXOS</t>
  </si>
  <si>
    <t>Fluxo</t>
  </si>
  <si>
    <t>Distância km</t>
  </si>
  <si>
    <t>R$/t</t>
  </si>
  <si>
    <t>Fonte da distância</t>
  </si>
  <si>
    <t>Itaguaí -&gt; Ouro Branco</t>
  </si>
  <si>
    <t>Soma de marcos km (DR MRS 2025): Itaguaí-&gt;Japeri ~30 + Japeri(km 64 L.Centro)-&gt;B.do Piraí(km 108) + B.do Piraí(km 108 L.SP)-&gt;Saudade(km 156) + F.do Aço/Ligação até Jeceaba (km 305) + Jeceaba(km 504 L.Centro)-&gt;Dr.J.Murtinho(km 478) + Ramal Açominas 9,6</t>
  </si>
  <si>
    <t>Itaguaí -&gt; Volta Redonda</t>
  </si>
  <si>
    <t>Itaguaí-&gt;Japeri ~30 + Japeri-&gt;B.do Piraí 44 + B.do Piraí(km 108)-&gt;Volta Redonda(km 144,9 L.SP) 36,7</t>
  </si>
  <si>
    <t>Praia Mole -&gt; Ipatinga</t>
  </si>
  <si>
    <t>Marco km 447 da estação Intendente Câmara (EFVM) + Ramal Tubarão 12,4 (DR EFVM 2025)</t>
  </si>
  <si>
    <t>Praia Mole -&gt; Monlevade</t>
  </si>
  <si>
    <t>Estimativa: tronco até RH-77/Desemb. Drumond (km 507) + Drumond–Piçarrão 16 + trecho até Monlevade ~15 + Ramal Tubarão. REFINAR se necessário</t>
  </si>
  <si>
    <t>ADICIONAL POR UF (ponderado pela capacidade das plantas a carvão mineral)</t>
  </si>
  <si>
    <t>Planta</t>
  </si>
  <si>
    <t>Capacidade kt</t>
  </si>
  <si>
    <t>Frete R$/t</t>
  </si>
  <si>
    <t>Obs</t>
  </si>
  <si>
    <t>Gerdau Ouro Branco</t>
  </si>
  <si>
    <t>Usiminas Ipatinga</t>
  </si>
  <si>
    <t>AM Monlevade</t>
  </si>
  <si>
    <t>CSN Volta Redonda</t>
  </si>
  <si>
    <t>Ternium Santa Cruz</t>
  </si>
  <si>
    <t>porto (Itaguaí/Sepetiba): frete 0</t>
  </si>
  <si>
    <t>AM Tubarão</t>
  </si>
  <si>
    <t>porto (Praia Mole): frete 0</t>
  </si>
  <si>
    <t>AM Pecém</t>
  </si>
  <si>
    <t>porto (Pecém): frete 0</t>
  </si>
  <si>
    <t>Adicional MG (R$/t)</t>
  </si>
  <si>
    <t>Adicional RJ (R$/t)</t>
  </si>
  <si>
    <t>Câmbio do ano-base (R$/US$)</t>
  </si>
  <si>
    <t>Adicional MG (US$/t)</t>
  </si>
  <si>
    <t>Adicional RJ (US$/t)</t>
  </si>
  <si>
    <t>Demais UFs: adicional 0 (hipótese: greenfield/planta litorânea recebe CIF no porto mais próximo). Documentado no LEIA-ME.</t>
  </si>
  <si>
    <t>Carvão metalúrgico — preço por UF (US$/GJ)</t>
  </si>
  <si>
    <t>Preço UF = CIF nacional do ano-base (CM_Comex) + adicional de frete ferroviário (CM_Frete), convertido por PCI (Premissas!C35). UFs sem planta a carvão ou litorâneas: adicional 0.</t>
  </si>
  <si>
    <t>Adicional frete US$/t</t>
  </si>
  <si>
    <t>Preço US$/t</t>
  </si>
  <si>
    <t>Preço US$/GJ</t>
  </si>
  <si>
    <t>Óleo diesel — preço por UF (US$/GJ), método da razão</t>
  </si>
  <si>
    <t>Estrutura: ANP, Levantamento de Preços de Combustíveis (SLP), preço médio de REVENDA de ÓLEO DIESEL (B S500), média simples das semanas de 2024, por UF. Nível: preço nacional do Model_Config (Premissas!C39), pois revenda inclui margem varejista que o consumidor industrial não paga. Preço UF = (R$/L da UF ÷ média nacional simples) x nível nacional. Mesma lógica do gás natural (estrutura de uma fonte, nível de outra).</t>
  </si>
  <si>
    <t>R$/L 2024 (ANP)</t>
  </si>
  <si>
    <t>Média nacional simples (R$/L)</t>
  </si>
  <si>
    <t>Fonte: semanal-estados-desde-2013.xlsx (ANP), produto OLEO DIESEL, 2024. Valores agregados a partir das ~113 mil linhas do arquivo original.</t>
  </si>
  <si>
    <t>Hidrogênio eletrolítico — preço por UF (US$/GJ), razão amortecida sobre eletricidade</t>
  </si>
  <si>
    <t>Estrutura: coluna de eletricidade por UF desta planilha (EE_por_UF, ANEEL A4). Nível: preço nacional do Model_Config (Premissas!C42). H2(UF) = nível x [alfa x razão_EE + (1-alfa)], alfa = fração eletricidade no LCOH (Premissas!C43). Ressalva metodológica: tarifa de rede A4 difere de PPA renovável dedicado de hub; a razão captura a estrutura relativa entre UFs, não o nível absoluto de projeto. A elegibilidade geográfica do DR-H2 (UFs com hub) é tratada no script (H2_ALLOWED_STATES), não no preço.</t>
  </si>
  <si>
    <t>EE US$/GJ</t>
  </si>
  <si>
    <t>Razão EE vs nacional</t>
  </si>
  <si>
    <t>Preço H2 US$/GJ</t>
  </si>
  <si>
    <t>Média nacional simples EE (US$/GJ)</t>
  </si>
  <si>
    <t>Minério de ferro — preço implícito na mina por UF (ANM, Anuário Mineral Brasileiro)</t>
  </si>
  <si>
    <t>PENDENTE DOWNLOAD: gov.br/anm -&gt; Anuário Mineral (ou dados abertos ANM, CSV). Tabela "Produção Mineral Comercializada — quantidade e valor", substância FERRO, por UF, última edição. Preço implícito = Valor ÷ Quantidade. Preencher células amarelas; anotar edição/ano-base na coluna Fonte.</t>
  </si>
  <si>
    <t>Produção comercializada (t)</t>
  </si>
  <si>
    <t>Valor (R$)</t>
  </si>
  <si>
    <t>US$/t</t>
  </si>
  <si>
    <t>Fonte (edição AMB)</t>
  </si>
  <si>
    <t>Diferencial PA - MG (US$/t)</t>
  </si>
  <si>
    <t>Enquanto vazio, o diferencial retorna 0 e o modelo roda sem o efeito preço-de-mina.</t>
  </si>
  <si>
    <t>Pelota de minério de ferro — FOB de exportação por UF de origem (Comex Stat, NCM 2601.12.00)</t>
  </si>
  <si>
    <t>PENDENTE DOWNLOAD: comexstat.mdic.gov.br -&gt; Exportação -&gt; consulta detalhada. NCM 2601.12.00 (aglomerados/pelotas), detalhe por UF DE ORIGEM (ES = Tubarão; MA = São Luís), métricas US$ FOB e kg líquido, anos 2022-2024. Geografia da aglomeração: 11 pelotizadoras no Brasil — 8 ES, 2 MG, 1 MA (São Luís, insumo de Carajás/PA).</t>
  </si>
  <si>
    <t>UF origem</t>
  </si>
  <si>
    <t>FOB ano-base ES (US$/t)</t>
  </si>
  <si>
    <t>FOB ano-base MA (US$/t)</t>
  </si>
  <si>
    <t>Delta MA - ES (US$/t pelota)</t>
  </si>
  <si>
    <t>Frete ferroviário de minério mina -&gt; usina — tarifas de referência ANTT</t>
  </si>
  <si>
    <t>Mesmas fontes e estrutura do carvão (CM_Frete): tarifa = fixa + variável x distância, sem ICMS. Fluxos que definem o adicional das UFs não-âncora. MG = âncora (delta 0; fretes intraestaduais curtos desprezados, documentado nas Premissas).</t>
  </si>
  <si>
    <t>TARIFAS — MINÉRIO DE FERRO</t>
  </si>
  <si>
    <t>MINERIO DE FERRO, Deliberação ANTT nº 54/2024 (vigente 31/12/2024), tabela MRS</t>
  </si>
  <si>
    <t>MINÉRIO DE FERRO, Deliberação ANTT nº 99/2022 (vigência 21/12/2022), simulador tarifário Vale</t>
  </si>
  <si>
    <t>Fator de atualização EFVM</t>
  </si>
  <si>
    <t>Mesmo fator do carvão (CM_Frete!B8) — uma decisão, um lugar</t>
  </si>
  <si>
    <t>Itabira -&gt; Tubarão (usina ES)</t>
  </si>
  <si>
    <t>Tronco EFVM até Itabira (km 541, DR EFVM 2025) + Ramal Tubarão ~12</t>
  </si>
  <si>
    <t>Casa de Pedra -&gt; Volta Redonda</t>
  </si>
  <si>
    <t>Congonhas/Dr.J.Murtinho (km ~478 L.Centro) -&gt; Jeceaba (504) -&gt; F.do Aço (305) -&gt; Saudade -&gt; VR (km 144,9 L.SP). Estimativa por marcos — REFINAR</t>
  </si>
  <si>
    <t>Casa de Pedra -&gt; Itaguaí (Sta Cruz)</t>
  </si>
  <si>
    <t>Idem até Saudade + Saudade -&gt; B.do Piraí -&gt; Japeri -&gt; Itaguaí (~122). Estimativa por marcos — REFINAR</t>
  </si>
  <si>
    <t>ADICIONAL POR UF (ponderado por capacidade)</t>
  </si>
  <si>
    <t>Adicional ES (R$/t)</t>
  </si>
  <si>
    <t>Adicional ES (US$/t)</t>
  </si>
  <si>
    <t>Minério e pelota — diferenciais por UF (método delta, duas âncoras)</t>
  </si>
  <si>
    <t>Delta = intensidade x diferença de custo do insumo vs. âncora. Família BF/IBT: minério comum, âncora MG. Família DR: pelota DR-grade, âncora ES (Tubarão). EAF: imune (sem minério). UFs sem fluxo estimado: 0 por hipótese, documentado. Células vazias/0 com PENDENTE nas abas de origem não travam o modelo.</t>
  </si>
  <si>
    <t>Frete minério US$/t</t>
  </si>
  <si>
    <t>Dif. mina ANM US$/t</t>
  </si>
  <si>
    <t>Total minério US$/t</t>
  </si>
  <si>
    <t>Delta BF/IBT US$/t aço</t>
  </si>
  <si>
    <t>Adicional pelota US$/t</t>
  </si>
  <si>
    <t>Delta DR US$/t aço</t>
  </si>
  <si>
    <t>Nota</t>
  </si>
  <si>
    <t>Minério e pelota via cabotagem (Ponta da Madeira/Tubarão) — premissa pendente</t>
  </si>
  <si>
    <t>Frete EFVM Itabira-&gt;Tubarão; âncora família DR (pelota na fonte)</t>
  </si>
  <si>
    <t>Pelota na fonte (São Luís): delta = FOB SL - FOB Tubarão (Comex)</t>
  </si>
  <si>
    <t>Âncora família BF/IBT (delta 0)</t>
  </si>
  <si>
    <t>Diferencial preço de mina Carajás vs MG (ANM) — pendente</t>
  </si>
  <si>
    <t>Frete MRS Casa de Pedra (ponderado VR/Sta Cruz); pelota via cabotagem de Tubarão</t>
  </si>
  <si>
    <t>Route</t>
  </si>
  <si>
    <t>State</t>
  </si>
  <si>
    <t>Extra_cost_USD_per_t</t>
  </si>
  <si>
    <t>Source_note</t>
  </si>
  <si>
    <t>SAÍDA — nova aba Ore_Cost_State no Model_Config_12 (copie A1:D163). Rotas ausentes (EAF) = sem delta. Requer novo bloco de leitura + termo na função objetivo do v20_13.</t>
  </si>
  <si>
    <t>BF-BOF MC</t>
  </si>
  <si>
    <t>Delta minério comum vs âncora MG: frete ANTT (MRS/EFVM) + dif. mina ANM; intensidade 1,6 t/t</t>
  </si>
  <si>
    <t>BF-BOF CC</t>
  </si>
  <si>
    <t>BF-BOF-CCS</t>
  </si>
  <si>
    <t>IBT</t>
  </si>
  <si>
    <t>DR-NG</t>
  </si>
  <si>
    <t>Delta pelota DR-grade vs âncora ES (Tubarão): FOB Comex por UF origem + cabotagem; intensidade 1,45 t/t</t>
  </si>
  <si>
    <t>DR-H2</t>
  </si>
  <si>
    <t>Fuel</t>
  </si>
  <si>
    <t>Price_USD_per_GJ</t>
  </si>
  <si>
    <t>SAÍDA — copie A1:D136 e cole na aba Fuel_Prices_State do Model_Config_12</t>
  </si>
  <si>
    <t>Eletricidade</t>
  </si>
  <si>
    <t>Gas natural</t>
  </si>
  <si>
    <t>Carvao mineral</t>
  </si>
  <si>
    <t>Comex Stat NCM 2701.12.00 CIF nacional + frete ferroviário ANTT (MG/RJ), PCI BEN</t>
  </si>
  <si>
    <t>Oleo diesel</t>
  </si>
  <si>
    <t>ANP SLP revenda 2024, método da razão sobre nível do Model_Config</t>
  </si>
  <si>
    <t>Hidrogenio</t>
  </si>
  <si>
    <t>Razão amortecida sobre EE ANEEL por UF (alfa=fração eletricidade no LCOH), nível do Model_Config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</si>
</sst>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%"/>
    <numFmt numFmtId="167" formatCode="0.0"/>
    <numFmt numFmtId="168" formatCode="0.0000"/>
  </numFmts>
  <fonts count="22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i/>
      <sz val="9"/>
      <color rgb="FF595959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  <font>
      <sz val="11"/>
      <color rgb="FF000000"/>
      <name val="Arial"/>
      <charset val="1"/>
    </font>
    <font>
      <sz val="9"/>
      <color rgb="FFC00000"/>
      <name val="Arial"/>
      <charset val="1"/>
    </font>
    <font>
      <sz val="9"/>
      <color rgb="FF008000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b/>
      <sz val="11"/>
      <color rgb="FFC00000"/>
      <name val="Arial"/>
      <charset val="1"/>
    </font>
    <font>
      <sz val="10"/>
      <color rgb="FF008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/>
    <xf numFmtId="0" fontId="7" fillId="0" borderId="0" xfId="0" applyFont="1" applyAlignment="1">
      <alignment wrapText="1"/>
    </xf>
    <xf numFmtId="0" fontId="1" fillId="0" borderId="0" xfId="0" applyFont="1"/>
    <xf numFmtId="0" fontId="8" fillId="3" borderId="1" xfId="0" applyFont="1" applyFill="1" applyBorder="1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" fontId="9" fillId="4" borderId="1" xfId="0" applyNumberFormat="1" applyFont="1" applyFill="1" applyBorder="1"/>
    <xf numFmtId="0" fontId="10" fillId="0" borderId="0" xfId="0" applyFont="1" applyAlignment="1">
      <alignment vertical="top" wrapText="1"/>
    </xf>
    <xf numFmtId="164" fontId="9" fillId="4" borderId="1" xfId="0" applyNumberFormat="1" applyFont="1" applyFill="1" applyBorder="1"/>
    <xf numFmtId="0" fontId="9" fillId="4" borderId="1" xfId="0" applyFont="1" applyFill="1" applyBorder="1"/>
    <xf numFmtId="11" fontId="9" fillId="0" borderId="1" xfId="0" applyNumberFormat="1" applyFont="1" applyBorder="1"/>
    <xf numFmtId="165" fontId="4" fillId="0" borderId="1" xfId="0" applyNumberFormat="1" applyFont="1" applyBorder="1"/>
    <xf numFmtId="3" fontId="9" fillId="4" borderId="1" xfId="0" applyNumberFormat="1" applyFont="1" applyFill="1" applyBorder="1"/>
    <xf numFmtId="0" fontId="9" fillId="0" borderId="1" xfId="0" applyFont="1" applyBorder="1"/>
    <xf numFmtId="164" fontId="0" fillId="0" borderId="1" xfId="0" applyNumberFormat="1" applyBorder="1"/>
    <xf numFmtId="0" fontId="10" fillId="0" borderId="0" xfId="0" applyFont="1"/>
    <xf numFmtId="166" fontId="9" fillId="4" borderId="1" xfId="0" applyNumberFormat="1" applyFont="1" applyFill="1" applyBorder="1"/>
    <xf numFmtId="2" fontId="9" fillId="4" borderId="1" xfId="0" applyNumberFormat="1" applyFont="1" applyFill="1" applyBorder="1"/>
    <xf numFmtId="0" fontId="11" fillId="0" borderId="0" xfId="0" applyFont="1"/>
    <xf numFmtId="0" fontId="7" fillId="0" borderId="0" xfId="0" applyFont="1"/>
    <xf numFmtId="0" fontId="12" fillId="4" borderId="0" xfId="0" applyFont="1" applyFill="1"/>
    <xf numFmtId="0" fontId="13" fillId="0" borderId="0" xfId="0" applyFont="1"/>
    <xf numFmtId="2" fontId="14" fillId="0" borderId="0" xfId="0" applyNumberFormat="1" applyFont="1"/>
    <xf numFmtId="167" fontId="12" fillId="4" borderId="0" xfId="0" applyNumberFormat="1" applyFont="1" applyFill="1"/>
    <xf numFmtId="2" fontId="12" fillId="4" borderId="0" xfId="0" applyNumberFormat="1" applyFont="1" applyFill="1"/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/>
    <xf numFmtId="4" fontId="4" fillId="0" borderId="0" xfId="0" applyNumberFormat="1" applyFont="1"/>
    <xf numFmtId="0" fontId="15" fillId="0" borderId="0" xfId="0" applyFont="1"/>
    <xf numFmtId="0" fontId="3" fillId="0" borderId="0" xfId="0" applyFont="1"/>
    <xf numFmtId="167" fontId="9" fillId="0" borderId="0" xfId="0" applyNumberFormat="1" applyFont="1"/>
    <xf numFmtId="2" fontId="4" fillId="0" borderId="0" xfId="0" applyNumberFormat="1" applyFont="1"/>
    <xf numFmtId="164" fontId="4" fillId="0" borderId="0" xfId="0" applyNumberFormat="1" applyFont="1"/>
    <xf numFmtId="2" fontId="9" fillId="0" borderId="0" xfId="0" applyNumberFormat="1" applyFont="1"/>
    <xf numFmtId="0" fontId="16" fillId="0" borderId="0" xfId="0" applyFont="1"/>
    <xf numFmtId="0" fontId="8" fillId="3" borderId="0" xfId="0" applyFont="1" applyFill="1"/>
    <xf numFmtId="166" fontId="4" fillId="0" borderId="0" xfId="0" applyNumberFormat="1" applyFont="1"/>
    <xf numFmtId="0" fontId="17" fillId="0" borderId="0" xfId="0" applyFont="1"/>
    <xf numFmtId="0" fontId="13" fillId="0" borderId="0" xfId="0" applyFont="1" applyAlignment="1">
      <alignment wrapText="1"/>
    </xf>
    <xf numFmtId="0" fontId="18" fillId="3" borderId="0" xfId="0" applyFont="1" applyFill="1"/>
    <xf numFmtId="1" fontId="12" fillId="0" borderId="0" xfId="0" applyNumberFormat="1" applyFont="1"/>
    <xf numFmtId="3" fontId="12" fillId="4" borderId="0" xfId="0" applyNumberFormat="1" applyFont="1" applyFill="1"/>
    <xf numFmtId="0" fontId="6" fillId="0" borderId="0" xfId="0" applyFont="1"/>
    <xf numFmtId="168" fontId="12" fillId="4" borderId="0" xfId="0" applyNumberFormat="1" applyFont="1" applyFill="1"/>
    <xf numFmtId="1" fontId="12" fillId="4" borderId="0" xfId="0" applyNumberFormat="1" applyFont="1" applyFill="1"/>
    <xf numFmtId="3" fontId="12" fillId="0" borderId="0" xfId="0" applyNumberFormat="1" applyFont="1"/>
    <xf numFmtId="2" fontId="12" fillId="0" borderId="0" xfId="0" applyNumberFormat="1" applyFont="1"/>
    <xf numFmtId="164" fontId="19" fillId="0" borderId="0" xfId="0" applyNumberFormat="1" applyFont="1"/>
    <xf numFmtId="2" fontId="19" fillId="0" borderId="0" xfId="0" applyNumberFormat="1" applyFont="1"/>
    <xf numFmtId="164" fontId="12" fillId="4" borderId="0" xfId="0" applyNumberFormat="1" applyFont="1" applyFill="1"/>
    <xf numFmtId="164" fontId="14" fillId="0" borderId="0" xfId="0" applyNumberFormat="1" applyFont="1"/>
    <xf numFmtId="168" fontId="19" fillId="0" borderId="0" xfId="0" applyNumberFormat="1" applyFont="1"/>
    <xf numFmtId="0" fontId="20" fillId="0" borderId="0" xfId="0" applyFont="1"/>
    <xf numFmtId="2" fontId="21" fillId="0" borderId="0" xfId="0" applyNumberFormat="1" applyFont="1"/>
    <xf numFmtId="0" fontId="21" fillId="0" borderId="0" xfId="0" applyFont="1"/>
    <xf numFmtId="0" fontId="1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65"/>
  <sheetViews>
    <sheetView zoomScaleNormal="100" workbookViewId="0">
      <selection activeCell="D11" sqref="D11"/>
    </sheetView>
  </sheetViews>
  <sheetFormatPr defaultColWidth="8.6640625" defaultRowHeight="14.4" x14ac:dyDescent="0.3"/>
  <cols>
    <col min="1" max="1" width="3" customWidth="1"/>
    <col min="2" max="2" width="118" customWidth="1"/>
  </cols>
  <sheetData>
    <row r="2" spans="2:2" ht="17.25" customHeight="1" x14ac:dyDescent="0.3">
      <c r="B2" s="1" t="s">
        <v>0</v>
      </c>
    </row>
    <row r="3" spans="2:2" ht="14.25" customHeight="1" x14ac:dyDescent="0.3">
      <c r="B3" s="2" t="s">
        <v>1</v>
      </c>
    </row>
    <row r="5" spans="2:2" ht="14.25" customHeight="1" x14ac:dyDescent="0.3">
      <c r="B5" s="3" t="s">
        <v>2</v>
      </c>
    </row>
    <row r="6" spans="2:2" ht="14.25" customHeight="1" x14ac:dyDescent="0.3">
      <c r="B6" s="4" t="s">
        <v>3</v>
      </c>
    </row>
    <row r="7" spans="2:2" ht="14.25" customHeight="1" x14ac:dyDescent="0.3">
      <c r="B7" s="4" t="s">
        <v>4</v>
      </c>
    </row>
    <row r="8" spans="2:2" ht="14.25" customHeight="1" x14ac:dyDescent="0.3">
      <c r="B8" s="4" t="s">
        <v>5</v>
      </c>
    </row>
    <row r="10" spans="2:2" ht="14.25" customHeight="1" x14ac:dyDescent="0.3">
      <c r="B10" s="3" t="s">
        <v>6</v>
      </c>
    </row>
    <row r="11" spans="2:2" ht="14.25" customHeight="1" x14ac:dyDescent="0.3">
      <c r="B11" s="4" t="s">
        <v>7</v>
      </c>
    </row>
    <row r="13" spans="2:2" ht="14.25" customHeight="1" x14ac:dyDescent="0.3">
      <c r="B13" s="3" t="s">
        <v>8</v>
      </c>
    </row>
    <row r="14" spans="2:2" ht="26.25" customHeight="1" x14ac:dyDescent="0.3">
      <c r="B14" s="4" t="s">
        <v>9</v>
      </c>
    </row>
    <row r="15" spans="2:2" ht="39" customHeight="1" x14ac:dyDescent="0.3">
      <c r="B15" s="4" t="s">
        <v>10</v>
      </c>
    </row>
    <row r="16" spans="2:2" ht="26.25" customHeight="1" x14ac:dyDescent="0.3">
      <c r="B16" s="4" t="s">
        <v>11</v>
      </c>
    </row>
    <row r="17" spans="2:2" ht="26.25" customHeight="1" x14ac:dyDescent="0.3">
      <c r="B17" s="4" t="s">
        <v>12</v>
      </c>
    </row>
    <row r="18" spans="2:2" ht="39" customHeight="1" x14ac:dyDescent="0.3">
      <c r="B18" s="4" t="s">
        <v>13</v>
      </c>
    </row>
    <row r="19" spans="2:2" ht="52.5" customHeight="1" x14ac:dyDescent="0.3">
      <c r="B19" s="4" t="s">
        <v>14</v>
      </c>
    </row>
    <row r="20" spans="2:2" ht="39" customHeight="1" x14ac:dyDescent="0.3">
      <c r="B20" s="4" t="s">
        <v>15</v>
      </c>
    </row>
    <row r="21" spans="2:2" ht="39" customHeight="1" x14ac:dyDescent="0.3">
      <c r="B21" s="4" t="s">
        <v>16</v>
      </c>
    </row>
    <row r="23" spans="2:2" ht="14.25" customHeight="1" x14ac:dyDescent="0.3">
      <c r="B23" s="3" t="s">
        <v>17</v>
      </c>
    </row>
    <row r="24" spans="2:2" ht="14.25" customHeight="1" x14ac:dyDescent="0.3">
      <c r="B24" s="4" t="s">
        <v>18</v>
      </c>
    </row>
    <row r="25" spans="2:2" ht="26.25" customHeight="1" x14ac:dyDescent="0.3">
      <c r="B25" s="4" t="s">
        <v>19</v>
      </c>
    </row>
    <row r="26" spans="2:2" ht="26.25" customHeight="1" x14ac:dyDescent="0.3">
      <c r="B26" s="4" t="s">
        <v>20</v>
      </c>
    </row>
    <row r="27" spans="2:2" ht="26.25" customHeight="1" x14ac:dyDescent="0.3">
      <c r="B27" s="4" t="s">
        <v>21</v>
      </c>
    </row>
    <row r="29" spans="2:2" ht="14.25" customHeight="1" x14ac:dyDescent="0.3">
      <c r="B29" s="5" t="s">
        <v>22</v>
      </c>
    </row>
    <row r="30" spans="2:2" ht="39" customHeight="1" x14ac:dyDescent="0.3">
      <c r="B30" s="4" t="s">
        <v>23</v>
      </c>
    </row>
    <row r="31" spans="2:2" ht="26.25" customHeight="1" x14ac:dyDescent="0.3">
      <c r="B31" s="4" t="s">
        <v>24</v>
      </c>
    </row>
    <row r="32" spans="2:2" ht="52.5" customHeight="1" x14ac:dyDescent="0.3">
      <c r="B32" s="4" t="s">
        <v>25</v>
      </c>
    </row>
    <row r="34" spans="2:2" ht="14.25" customHeight="1" x14ac:dyDescent="0.3">
      <c r="B34" s="3" t="s">
        <v>26</v>
      </c>
    </row>
    <row r="35" spans="2:2" ht="26.25" customHeight="1" x14ac:dyDescent="0.3">
      <c r="B35" s="4" t="s">
        <v>27</v>
      </c>
    </row>
    <row r="36" spans="2:2" ht="26.25" customHeight="1" x14ac:dyDescent="0.3">
      <c r="B36" s="4" t="s">
        <v>28</v>
      </c>
    </row>
    <row r="37" spans="2:2" ht="26.25" customHeight="1" x14ac:dyDescent="0.3">
      <c r="B37" s="4" t="s">
        <v>29</v>
      </c>
    </row>
    <row r="38" spans="2:2" ht="26.25" customHeight="1" x14ac:dyDescent="0.3">
      <c r="B38" s="4" t="s">
        <v>30</v>
      </c>
    </row>
    <row r="39" spans="2:2" ht="14.25" customHeight="1" x14ac:dyDescent="0.3">
      <c r="B39" s="4" t="s">
        <v>31</v>
      </c>
    </row>
    <row r="41" spans="2:2" ht="14.25" customHeight="1" x14ac:dyDescent="0.3">
      <c r="B41" s="3" t="s">
        <v>32</v>
      </c>
    </row>
    <row r="42" spans="2:2" ht="26.25" customHeight="1" x14ac:dyDescent="0.3">
      <c r="B42" s="4" t="s">
        <v>33</v>
      </c>
    </row>
    <row r="43" spans="2:2" ht="26.25" customHeight="1" x14ac:dyDescent="0.3">
      <c r="B43" s="4" t="s">
        <v>34</v>
      </c>
    </row>
    <row r="45" spans="2:2" ht="14.25" customHeight="1" x14ac:dyDescent="0.3">
      <c r="B45" s="6" t="s">
        <v>35</v>
      </c>
    </row>
    <row r="46" spans="2:2" ht="26.25" customHeight="1" x14ac:dyDescent="0.3">
      <c r="B46" s="7" t="s">
        <v>36</v>
      </c>
    </row>
    <row r="47" spans="2:2" ht="26.25" customHeight="1" x14ac:dyDescent="0.3">
      <c r="B47" s="7" t="s">
        <v>37</v>
      </c>
    </row>
    <row r="48" spans="2:2" ht="26.25" customHeight="1" x14ac:dyDescent="0.3">
      <c r="B48" s="7" t="s">
        <v>38</v>
      </c>
    </row>
    <row r="49" spans="2:2" ht="26.25" customHeight="1" x14ac:dyDescent="0.3">
      <c r="B49" s="7" t="s">
        <v>39</v>
      </c>
    </row>
    <row r="50" spans="2:2" ht="26.25" customHeight="1" x14ac:dyDescent="0.3">
      <c r="B50" s="7" t="s">
        <v>40</v>
      </c>
    </row>
    <row r="51" spans="2:2" ht="26.25" customHeight="1" x14ac:dyDescent="0.3">
      <c r="B51" s="7" t="s">
        <v>41</v>
      </c>
    </row>
    <row r="53" spans="2:2" ht="14.25" customHeight="1" x14ac:dyDescent="0.3">
      <c r="B53" s="6" t="s">
        <v>42</v>
      </c>
    </row>
    <row r="54" spans="2:2" ht="26.25" customHeight="1" x14ac:dyDescent="0.3">
      <c r="B54" s="7" t="s">
        <v>43</v>
      </c>
    </row>
    <row r="55" spans="2:2" ht="26.25" customHeight="1" x14ac:dyDescent="0.3">
      <c r="B55" s="7" t="s">
        <v>44</v>
      </c>
    </row>
    <row r="56" spans="2:2" ht="64.5" customHeight="1" x14ac:dyDescent="0.3">
      <c r="B56" s="7" t="s">
        <v>45</v>
      </c>
    </row>
    <row r="57" spans="2:2" ht="26.25" customHeight="1" x14ac:dyDescent="0.3">
      <c r="B57" s="7" t="s">
        <v>46</v>
      </c>
    </row>
    <row r="59" spans="2:2" x14ac:dyDescent="0.3">
      <c r="B59" s="6" t="s">
        <v>47</v>
      </c>
    </row>
    <row r="60" spans="2:2" ht="42" x14ac:dyDescent="0.3">
      <c r="B60" s="7" t="s">
        <v>48</v>
      </c>
    </row>
    <row r="61" spans="2:2" ht="42" x14ac:dyDescent="0.3">
      <c r="B61" s="7" t="s">
        <v>49</v>
      </c>
    </row>
    <row r="62" spans="2:2" ht="28.2" x14ac:dyDescent="0.3">
      <c r="B62" s="7" t="s">
        <v>50</v>
      </c>
    </row>
    <row r="63" spans="2:2" ht="28.2" x14ac:dyDescent="0.3">
      <c r="B63" s="7" t="s">
        <v>51</v>
      </c>
    </row>
    <row r="64" spans="2:2" ht="42" x14ac:dyDescent="0.3">
      <c r="B64" s="7" t="s">
        <v>52</v>
      </c>
    </row>
    <row r="65" spans="2:2" ht="28.2" x14ac:dyDescent="0.3">
      <c r="B65" s="7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0"/>
  <sheetViews>
    <sheetView zoomScaleNormal="100" workbookViewId="0"/>
  </sheetViews>
  <sheetFormatPr defaultColWidth="8.6640625" defaultRowHeight="14.4" x14ac:dyDescent="0.3"/>
  <cols>
    <col min="1" max="1" width="3" customWidth="1"/>
    <col min="2" max="2" width="42" customWidth="1"/>
    <col min="3" max="3" width="14" customWidth="1"/>
    <col min="4" max="4" width="78" customWidth="1"/>
  </cols>
  <sheetData>
    <row r="2" spans="2:4" ht="17.25" customHeight="1" x14ac:dyDescent="0.3">
      <c r="B2" s="8" t="s">
        <v>54</v>
      </c>
    </row>
    <row r="4" spans="2:4" ht="14.25" customHeight="1" x14ac:dyDescent="0.3">
      <c r="B4" s="9" t="s">
        <v>55</v>
      </c>
      <c r="C4" s="9" t="s">
        <v>56</v>
      </c>
      <c r="D4" s="9" t="s">
        <v>57</v>
      </c>
    </row>
    <row r="5" spans="2:4" ht="14.25" customHeight="1" x14ac:dyDescent="0.3">
      <c r="B5" s="10" t="s">
        <v>58</v>
      </c>
      <c r="C5" s="11"/>
      <c r="D5" s="11"/>
    </row>
    <row r="6" spans="2:4" ht="14.25" customHeight="1" x14ac:dyDescent="0.3">
      <c r="B6" s="12" t="s">
        <v>59</v>
      </c>
      <c r="C6" s="13">
        <v>2024</v>
      </c>
      <c r="D6" s="14" t="s">
        <v>60</v>
      </c>
    </row>
    <row r="7" spans="2:4" ht="14.25" customHeight="1" x14ac:dyDescent="0.3">
      <c r="B7" s="10" t="s">
        <v>61</v>
      </c>
      <c r="C7" s="11"/>
      <c r="D7" s="11"/>
    </row>
    <row r="8" spans="2:4" ht="14.25" customHeight="1" x14ac:dyDescent="0.3">
      <c r="B8" s="12" t="s">
        <v>62</v>
      </c>
      <c r="C8" s="15">
        <v>5.165</v>
      </c>
      <c r="D8" s="14" t="s">
        <v>63</v>
      </c>
    </row>
    <row r="9" spans="2:4" ht="14.25" customHeight="1" x14ac:dyDescent="0.3">
      <c r="B9" s="12" t="s">
        <v>64</v>
      </c>
      <c r="C9" s="15">
        <v>4.9950000000000001</v>
      </c>
      <c r="D9" s="14" t="s">
        <v>65</v>
      </c>
    </row>
    <row r="10" spans="2:4" ht="14.25" customHeight="1" x14ac:dyDescent="0.3">
      <c r="B10" s="12" t="s">
        <v>66</v>
      </c>
      <c r="C10" s="15">
        <v>5.3920000000000003</v>
      </c>
      <c r="D10" s="14" t="s">
        <v>65</v>
      </c>
    </row>
    <row r="11" spans="2:4" ht="14.25" customHeight="1" x14ac:dyDescent="0.3">
      <c r="B11" s="10" t="s">
        <v>67</v>
      </c>
      <c r="C11" s="11"/>
      <c r="D11" s="11"/>
    </row>
    <row r="12" spans="2:4" ht="14.25" customHeight="1" x14ac:dyDescent="0.3">
      <c r="B12" s="12" t="s">
        <v>68</v>
      </c>
      <c r="C12" s="16">
        <v>8500</v>
      </c>
      <c r="D12" s="14" t="s">
        <v>69</v>
      </c>
    </row>
    <row r="13" spans="2:4" ht="22.5" customHeight="1" x14ac:dyDescent="0.3">
      <c r="B13" s="12" t="s">
        <v>70</v>
      </c>
      <c r="C13" s="16">
        <v>9400</v>
      </c>
      <c r="D13" s="14" t="s">
        <v>71</v>
      </c>
    </row>
    <row r="14" spans="2:4" ht="14.25" customHeight="1" x14ac:dyDescent="0.3">
      <c r="B14" s="12" t="s">
        <v>72</v>
      </c>
      <c r="C14" s="17">
        <v>4.1868000000000003E-6</v>
      </c>
      <c r="D14" s="14" t="s">
        <v>73</v>
      </c>
    </row>
    <row r="15" spans="2:4" ht="14.25" customHeight="1" x14ac:dyDescent="0.3">
      <c r="B15" s="12" t="s">
        <v>74</v>
      </c>
      <c r="C15" s="18">
        <f>C12*C14</f>
        <v>3.5587800000000003E-2</v>
      </c>
      <c r="D15" s="14" t="s">
        <v>75</v>
      </c>
    </row>
    <row r="16" spans="2:4" ht="14.25" customHeight="1" x14ac:dyDescent="0.3">
      <c r="B16" s="10" t="s">
        <v>76</v>
      </c>
      <c r="C16" s="11"/>
      <c r="D16" s="11"/>
    </row>
    <row r="17" spans="2:4" ht="14.25" customHeight="1" x14ac:dyDescent="0.3">
      <c r="B17" s="12" t="s">
        <v>77</v>
      </c>
      <c r="C17" s="19">
        <v>50000</v>
      </c>
      <c r="D17" s="14" t="s">
        <v>78</v>
      </c>
    </row>
    <row r="18" spans="2:4" ht="14.25" customHeight="1" x14ac:dyDescent="0.3">
      <c r="B18" s="10" t="s">
        <v>79</v>
      </c>
      <c r="C18" s="11"/>
      <c r="D18" s="11"/>
    </row>
    <row r="19" spans="2:4" ht="33.75" customHeight="1" x14ac:dyDescent="0.3">
      <c r="B19" s="12" t="s">
        <v>80</v>
      </c>
      <c r="C19" s="16" t="s">
        <v>81</v>
      </c>
      <c r="D19" s="14" t="s">
        <v>82</v>
      </c>
    </row>
    <row r="20" spans="2:4" ht="14.25" customHeight="1" x14ac:dyDescent="0.3">
      <c r="B20" s="10" t="s">
        <v>83</v>
      </c>
      <c r="C20" s="11"/>
      <c r="D20" s="11"/>
    </row>
    <row r="21" spans="2:4" ht="14.25" customHeight="1" x14ac:dyDescent="0.3">
      <c r="B21" s="12" t="s">
        <v>84</v>
      </c>
      <c r="C21" s="20">
        <v>3.6</v>
      </c>
      <c r="D21" s="14" t="s">
        <v>85</v>
      </c>
    </row>
    <row r="22" spans="2:4" ht="14.25" customHeight="1" x14ac:dyDescent="0.3">
      <c r="B22" s="10" t="s">
        <v>86</v>
      </c>
      <c r="C22" s="11"/>
      <c r="D22" s="11"/>
    </row>
    <row r="23" spans="2:4" ht="14.25" customHeight="1" x14ac:dyDescent="0.3">
      <c r="B23" t="s">
        <v>87</v>
      </c>
      <c r="C23" s="21">
        <f>IF(C6=2022,C8,IF(C6=2023,C9,IF(C6=2024,C10,AVERAGE(C8:C10))))</f>
        <v>5.3920000000000003</v>
      </c>
      <c r="D23" s="22" t="s">
        <v>88</v>
      </c>
    </row>
    <row r="25" spans="2:4" ht="14.25" customHeight="1" x14ac:dyDescent="0.3">
      <c r="B25" s="10" t="s">
        <v>89</v>
      </c>
      <c r="C25" s="11"/>
      <c r="D25" s="11"/>
    </row>
    <row r="26" spans="2:4" ht="22.5" customHeight="1" x14ac:dyDescent="0.3">
      <c r="B26" s="12" t="s">
        <v>90</v>
      </c>
      <c r="C26" s="23">
        <v>0.18</v>
      </c>
      <c r="D26" s="14" t="s">
        <v>91</v>
      </c>
    </row>
    <row r="27" spans="2:4" ht="14.25" customHeight="1" x14ac:dyDescent="0.3">
      <c r="B27" s="12" t="s">
        <v>92</v>
      </c>
      <c r="C27" s="23">
        <v>0.05</v>
      </c>
      <c r="D27" s="14" t="s">
        <v>93</v>
      </c>
    </row>
    <row r="28" spans="2:4" ht="14.25" customHeight="1" x14ac:dyDescent="0.3">
      <c r="B28" s="12" t="s">
        <v>94</v>
      </c>
      <c r="C28" s="16" t="s">
        <v>95</v>
      </c>
      <c r="D28" s="14" t="s">
        <v>96</v>
      </c>
    </row>
    <row r="29" spans="2:4" ht="14.25" customHeight="1" x14ac:dyDescent="0.3">
      <c r="B29" s="12" t="s">
        <v>97</v>
      </c>
      <c r="C29" s="24">
        <v>0.9</v>
      </c>
      <c r="D29" s="14" t="s">
        <v>98</v>
      </c>
    </row>
    <row r="31" spans="2:4" ht="14.25" customHeight="1" x14ac:dyDescent="0.3">
      <c r="B31" s="25" t="s">
        <v>99</v>
      </c>
    </row>
    <row r="33" spans="2:4" ht="14.25" customHeight="1" x14ac:dyDescent="0.3">
      <c r="B33" s="6" t="s">
        <v>100</v>
      </c>
      <c r="C33" s="11"/>
    </row>
    <row r="34" spans="2:4" ht="14.25" customHeight="1" x14ac:dyDescent="0.3">
      <c r="B34" s="26" t="s">
        <v>101</v>
      </c>
      <c r="C34" s="27">
        <v>7400</v>
      </c>
      <c r="D34" s="28" t="s">
        <v>102</v>
      </c>
    </row>
    <row r="35" spans="2:4" ht="14.25" customHeight="1" x14ac:dyDescent="0.3">
      <c r="B35" s="26" t="s">
        <v>103</v>
      </c>
      <c r="C35" s="29">
        <f>C34*C14*1000</f>
        <v>30.982320000000001</v>
      </c>
    </row>
    <row r="36" spans="2:4" ht="14.25" customHeight="1" x14ac:dyDescent="0.3">
      <c r="B36" s="26" t="s">
        <v>104</v>
      </c>
      <c r="C36" s="27" t="s">
        <v>105</v>
      </c>
      <c r="D36" s="28" t="s">
        <v>106</v>
      </c>
    </row>
    <row r="38" spans="2:4" ht="14.25" customHeight="1" x14ac:dyDescent="0.3">
      <c r="B38" s="6" t="s">
        <v>107</v>
      </c>
      <c r="C38" s="11"/>
    </row>
    <row r="39" spans="2:4" ht="14.25" customHeight="1" x14ac:dyDescent="0.3">
      <c r="B39" s="26" t="s">
        <v>108</v>
      </c>
      <c r="C39" s="27">
        <v>22</v>
      </c>
      <c r="D39" s="28" t="s">
        <v>109</v>
      </c>
    </row>
    <row r="41" spans="2:4" ht="14.25" customHeight="1" x14ac:dyDescent="0.3">
      <c r="B41" s="6" t="s">
        <v>110</v>
      </c>
      <c r="C41" s="11"/>
    </row>
    <row r="42" spans="2:4" ht="14.25" customHeight="1" x14ac:dyDescent="0.3">
      <c r="B42" s="26" t="s">
        <v>108</v>
      </c>
      <c r="C42" s="30">
        <v>41.6</v>
      </c>
      <c r="D42" s="28" t="s">
        <v>111</v>
      </c>
    </row>
    <row r="43" spans="2:4" ht="14.25" customHeight="1" x14ac:dyDescent="0.3">
      <c r="B43" s="26" t="s">
        <v>112</v>
      </c>
      <c r="C43" s="31">
        <v>0.72</v>
      </c>
      <c r="D43" s="28" t="s">
        <v>113</v>
      </c>
    </row>
    <row r="44" spans="2:4" ht="14.25" customHeight="1" x14ac:dyDescent="0.3">
      <c r="B44" s="28" t="s">
        <v>114</v>
      </c>
    </row>
    <row r="46" spans="2:4" x14ac:dyDescent="0.3">
      <c r="B46" s="6" t="s">
        <v>115</v>
      </c>
      <c r="C46" s="11"/>
    </row>
    <row r="47" spans="2:4" x14ac:dyDescent="0.3">
      <c r="B47" s="26" t="s">
        <v>116</v>
      </c>
      <c r="C47" s="31">
        <v>1.6</v>
      </c>
      <c r="D47" s="28" t="s">
        <v>117</v>
      </c>
    </row>
    <row r="48" spans="2:4" x14ac:dyDescent="0.3">
      <c r="B48" s="26" t="s">
        <v>118</v>
      </c>
      <c r="C48" s="31">
        <v>1.45</v>
      </c>
      <c r="D48" s="28" t="s">
        <v>119</v>
      </c>
    </row>
    <row r="49" spans="2:4" x14ac:dyDescent="0.3">
      <c r="B49" s="26" t="s">
        <v>120</v>
      </c>
      <c r="C49" s="31">
        <v>0</v>
      </c>
      <c r="D49" s="28" t="s">
        <v>121</v>
      </c>
    </row>
    <row r="50" spans="2:4" x14ac:dyDescent="0.3">
      <c r="B50" s="28" t="s">
        <v>122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7"/>
  <sheetViews>
    <sheetView zoomScaleNormal="100" workbookViewId="0">
      <pane ySplit="4" topLeftCell="A5" activePane="bottomLeft" state="frozen"/>
      <selection pane="bottomLeft" activeCell="Q10" sqref="Q10"/>
    </sheetView>
  </sheetViews>
  <sheetFormatPr defaultColWidth="8.6640625" defaultRowHeight="14.4" x14ac:dyDescent="0.3"/>
  <cols>
    <col min="1" max="1" width="24" customWidth="1"/>
    <col min="2" max="2" width="9" customWidth="1"/>
    <col min="3" max="3" width="7" customWidth="1"/>
    <col min="4" max="4" width="15" customWidth="1"/>
    <col min="5" max="13" width="11" customWidth="1"/>
    <col min="14" max="14" width="13" customWidth="1"/>
    <col min="15" max="15" width="15" customWidth="1"/>
  </cols>
  <sheetData>
    <row r="1" spans="1:15" ht="17.25" customHeight="1" x14ac:dyDescent="0.3">
      <c r="A1" s="8" t="s">
        <v>123</v>
      </c>
    </row>
    <row r="2" spans="1:15" ht="14.25" customHeight="1" x14ac:dyDescent="0.3">
      <c r="A2" s="25" t="s">
        <v>124</v>
      </c>
    </row>
    <row r="4" spans="1:15" ht="26.25" customHeight="1" x14ac:dyDescent="0.3">
      <c r="A4" s="32" t="s">
        <v>125</v>
      </c>
      <c r="B4" s="32" t="s">
        <v>126</v>
      </c>
      <c r="C4" s="32" t="s">
        <v>127</v>
      </c>
      <c r="D4" s="32" t="s">
        <v>128</v>
      </c>
      <c r="E4" s="32" t="s">
        <v>129</v>
      </c>
      <c r="F4" s="32" t="s">
        <v>130</v>
      </c>
      <c r="G4" s="32" t="s">
        <v>131</v>
      </c>
      <c r="H4" s="32" t="s">
        <v>132</v>
      </c>
      <c r="I4" s="32" t="s">
        <v>133</v>
      </c>
      <c r="J4" s="32" t="s">
        <v>134</v>
      </c>
      <c r="K4" s="32" t="s">
        <v>135</v>
      </c>
      <c r="L4" s="32" t="s">
        <v>136</v>
      </c>
      <c r="M4" s="32" t="s">
        <v>137</v>
      </c>
      <c r="N4" s="32" t="s">
        <v>138</v>
      </c>
      <c r="O4" s="32" t="s">
        <v>139</v>
      </c>
    </row>
    <row r="5" spans="1:15" ht="14.25" customHeight="1" x14ac:dyDescent="0.3">
      <c r="A5" s="12" t="s">
        <v>140</v>
      </c>
      <c r="B5" s="16" t="s">
        <v>141</v>
      </c>
      <c r="C5" s="16">
        <v>0</v>
      </c>
      <c r="D5" s="22" t="s">
        <v>142</v>
      </c>
      <c r="E5" s="33">
        <v>84.56</v>
      </c>
      <c r="F5" s="33">
        <v>201.63</v>
      </c>
      <c r="G5" s="34">
        <f t="shared" ref="G5:G36" si="0">E5+F5</f>
        <v>286.19</v>
      </c>
      <c r="H5" s="33">
        <v>90.49</v>
      </c>
      <c r="I5" s="33">
        <v>233.17</v>
      </c>
      <c r="J5" s="34">
        <f t="shared" ref="J5:J36" si="1">H5+I5</f>
        <v>323.65999999999997</v>
      </c>
      <c r="K5" s="33">
        <v>95.2</v>
      </c>
      <c r="L5" s="33">
        <v>274.63</v>
      </c>
      <c r="M5" s="34">
        <f t="shared" ref="M5:M36" si="2">K5+L5</f>
        <v>369.83</v>
      </c>
      <c r="N5" s="34">
        <f>IF(Premissas!$C$6=2022,G5,IF(Premissas!$C$6=2023,J5,IF(Premissas!$C$6=2024,M5,AVERAGE(G5,J5,M5))))</f>
        <v>369.83</v>
      </c>
      <c r="O5" s="33">
        <v>27.79</v>
      </c>
    </row>
    <row r="6" spans="1:15" ht="14.25" customHeight="1" x14ac:dyDescent="0.3">
      <c r="A6" s="12" t="s">
        <v>143</v>
      </c>
      <c r="B6" s="16" t="s">
        <v>144</v>
      </c>
      <c r="C6" s="16">
        <v>1</v>
      </c>
      <c r="D6" s="22" t="s">
        <v>145</v>
      </c>
      <c r="E6" s="33">
        <v>181.48</v>
      </c>
      <c r="F6" s="33">
        <v>215.6</v>
      </c>
      <c r="G6" s="34">
        <f t="shared" si="0"/>
        <v>397.08</v>
      </c>
      <c r="H6" s="33">
        <v>181.48</v>
      </c>
      <c r="I6" s="33">
        <v>215.6</v>
      </c>
      <c r="J6" s="34">
        <f t="shared" si="1"/>
        <v>397.08</v>
      </c>
      <c r="K6" s="33">
        <v>193.63</v>
      </c>
      <c r="L6" s="33">
        <v>193.81</v>
      </c>
      <c r="M6" s="34">
        <f t="shared" si="2"/>
        <v>387.44</v>
      </c>
      <c r="N6" s="34">
        <f>IF(Premissas!$C$6=2022,G6,IF(Premissas!$C$6=2023,J6,IF(Premissas!$C$6=2024,M6,AVERAGE(G6,J6,M6))))</f>
        <v>387.44</v>
      </c>
      <c r="O6" s="33">
        <v>33.76</v>
      </c>
    </row>
    <row r="7" spans="1:15" ht="14.25" customHeight="1" x14ac:dyDescent="0.3">
      <c r="A7" s="12" t="s">
        <v>146</v>
      </c>
      <c r="B7" s="16" t="s">
        <v>147</v>
      </c>
      <c r="C7" s="16">
        <v>0</v>
      </c>
      <c r="D7" s="22" t="s">
        <v>148</v>
      </c>
      <c r="E7" s="33">
        <v>98.98</v>
      </c>
      <c r="F7" s="33">
        <v>266.47000000000003</v>
      </c>
      <c r="G7" s="34">
        <f t="shared" si="0"/>
        <v>365.45000000000005</v>
      </c>
      <c r="H7" s="33">
        <v>84.74</v>
      </c>
      <c r="I7" s="33">
        <v>280.82</v>
      </c>
      <c r="J7" s="34">
        <f t="shared" si="1"/>
        <v>365.56</v>
      </c>
      <c r="K7" s="33">
        <v>95.85</v>
      </c>
      <c r="L7" s="33">
        <v>200.37</v>
      </c>
      <c r="M7" s="34">
        <f t="shared" si="2"/>
        <v>296.22000000000003</v>
      </c>
      <c r="N7" s="34">
        <f>IF(Premissas!$C$6=2022,G7,IF(Premissas!$C$6=2023,J7,IF(Premissas!$C$6=2024,M7,AVERAGE(G7,J7,M7))))</f>
        <v>296.22000000000003</v>
      </c>
      <c r="O7" s="33">
        <v>37.770000000000003</v>
      </c>
    </row>
    <row r="8" spans="1:15" ht="14.25" customHeight="1" x14ac:dyDescent="0.3">
      <c r="A8" s="12" t="s">
        <v>149</v>
      </c>
      <c r="B8" s="16" t="s">
        <v>147</v>
      </c>
      <c r="C8" s="16">
        <v>0</v>
      </c>
      <c r="D8" s="22" t="s">
        <v>148</v>
      </c>
      <c r="E8" s="33">
        <v>126.58</v>
      </c>
      <c r="F8" s="33">
        <v>269.20999999999998</v>
      </c>
      <c r="G8" s="34">
        <f t="shared" si="0"/>
        <v>395.78999999999996</v>
      </c>
      <c r="H8" s="33">
        <v>97.29</v>
      </c>
      <c r="I8" s="33">
        <v>429.57</v>
      </c>
      <c r="J8" s="34">
        <f t="shared" si="1"/>
        <v>526.86</v>
      </c>
      <c r="K8" s="33">
        <v>97.9</v>
      </c>
      <c r="L8" s="33">
        <v>318.75</v>
      </c>
      <c r="M8" s="34">
        <f t="shared" si="2"/>
        <v>416.65</v>
      </c>
      <c r="N8" s="34">
        <f>IF(Premissas!$C$6=2022,G8,IF(Premissas!$C$6=2023,J8,IF(Premissas!$C$6=2024,M8,AVERAGE(G8,J8,M8))))</f>
        <v>416.65</v>
      </c>
      <c r="O8" s="33">
        <v>35.700000000000003</v>
      </c>
    </row>
    <row r="9" spans="1:15" ht="14.25" customHeight="1" x14ac:dyDescent="0.3">
      <c r="A9" s="12" t="s">
        <v>150</v>
      </c>
      <c r="B9" s="16" t="s">
        <v>151</v>
      </c>
      <c r="C9" s="16">
        <v>1</v>
      </c>
      <c r="D9" s="22" t="s">
        <v>145</v>
      </c>
      <c r="E9" s="33">
        <v>137.58000000000001</v>
      </c>
      <c r="F9" s="33">
        <v>266.08999999999997</v>
      </c>
      <c r="G9" s="34">
        <f t="shared" si="0"/>
        <v>403.66999999999996</v>
      </c>
      <c r="H9" s="33">
        <v>94.16</v>
      </c>
      <c r="I9" s="33">
        <v>264.74</v>
      </c>
      <c r="J9" s="34">
        <f t="shared" si="1"/>
        <v>358.9</v>
      </c>
      <c r="K9" s="33">
        <v>124.73</v>
      </c>
      <c r="L9" s="33">
        <v>239.05</v>
      </c>
      <c r="M9" s="34">
        <f t="shared" si="2"/>
        <v>363.78000000000003</v>
      </c>
      <c r="N9" s="34">
        <f>IF(Premissas!$C$6=2022,G9,IF(Premissas!$C$6=2023,J9,IF(Premissas!$C$6=2024,M9,AVERAGE(G9,J9,M9))))</f>
        <v>363.78000000000003</v>
      </c>
      <c r="O9" s="33">
        <v>31.81</v>
      </c>
    </row>
    <row r="10" spans="1:15" ht="14.25" customHeight="1" x14ac:dyDescent="0.3">
      <c r="A10" s="12" t="s">
        <v>152</v>
      </c>
      <c r="B10" s="16" t="s">
        <v>147</v>
      </c>
      <c r="C10" s="16">
        <v>0</v>
      </c>
      <c r="D10" s="22" t="s">
        <v>148</v>
      </c>
      <c r="E10" s="33">
        <v>105.41</v>
      </c>
      <c r="F10" s="33">
        <v>194.01</v>
      </c>
      <c r="G10" s="34">
        <f t="shared" si="0"/>
        <v>299.41999999999996</v>
      </c>
      <c r="H10" s="33">
        <v>109.7</v>
      </c>
      <c r="I10" s="33">
        <v>200.1</v>
      </c>
      <c r="J10" s="34">
        <f t="shared" si="1"/>
        <v>309.8</v>
      </c>
      <c r="K10" s="33">
        <v>100.87</v>
      </c>
      <c r="L10" s="33">
        <v>222</v>
      </c>
      <c r="M10" s="34">
        <f t="shared" si="2"/>
        <v>322.87</v>
      </c>
      <c r="N10" s="34">
        <f>IF(Premissas!$C$6=2022,G10,IF(Premissas!$C$6=2023,J10,IF(Premissas!$C$6=2024,M10,AVERAGE(G10,J10,M10))))</f>
        <v>322.87</v>
      </c>
      <c r="O10" s="33">
        <v>16.59</v>
      </c>
    </row>
    <row r="11" spans="1:15" ht="14.25" customHeight="1" x14ac:dyDescent="0.3">
      <c r="A11" s="12" t="s">
        <v>153</v>
      </c>
      <c r="B11" s="16" t="s">
        <v>147</v>
      </c>
      <c r="C11" s="16">
        <v>0</v>
      </c>
      <c r="D11" s="22" t="s">
        <v>148</v>
      </c>
      <c r="E11" s="33">
        <v>88.7</v>
      </c>
      <c r="F11" s="33">
        <v>191.01</v>
      </c>
      <c r="G11" s="34">
        <f t="shared" si="0"/>
        <v>279.70999999999998</v>
      </c>
      <c r="H11" s="33">
        <v>82.41</v>
      </c>
      <c r="I11" s="33">
        <v>192.22</v>
      </c>
      <c r="J11" s="34">
        <f t="shared" si="1"/>
        <v>274.63</v>
      </c>
      <c r="K11" s="33">
        <v>94.71</v>
      </c>
      <c r="L11" s="33">
        <v>212.61</v>
      </c>
      <c r="M11" s="34">
        <f t="shared" si="2"/>
        <v>307.32</v>
      </c>
      <c r="N11" s="34">
        <f>IF(Premissas!$C$6=2022,G11,IF(Premissas!$C$6=2023,J11,IF(Premissas!$C$6=2024,M11,AVERAGE(G11,J11,M11))))</f>
        <v>307.32</v>
      </c>
      <c r="O11" s="33">
        <v>35.83</v>
      </c>
    </row>
    <row r="12" spans="1:15" ht="14.25" customHeight="1" x14ac:dyDescent="0.3">
      <c r="A12" s="12" t="s">
        <v>154</v>
      </c>
      <c r="B12" s="16" t="s">
        <v>155</v>
      </c>
      <c r="C12" s="16">
        <v>1</v>
      </c>
      <c r="D12" s="22" t="s">
        <v>145</v>
      </c>
      <c r="E12" s="33">
        <v>126.25</v>
      </c>
      <c r="F12" s="33">
        <v>250.04</v>
      </c>
      <c r="G12" s="34">
        <f t="shared" si="0"/>
        <v>376.28999999999996</v>
      </c>
      <c r="H12" s="33">
        <v>100.39</v>
      </c>
      <c r="I12" s="33">
        <v>277.93</v>
      </c>
      <c r="J12" s="34">
        <f t="shared" si="1"/>
        <v>378.32</v>
      </c>
      <c r="K12" s="33">
        <v>106.86</v>
      </c>
      <c r="L12" s="33">
        <v>286.47000000000003</v>
      </c>
      <c r="M12" s="34">
        <f t="shared" si="2"/>
        <v>393.33000000000004</v>
      </c>
      <c r="N12" s="34">
        <f>IF(Premissas!$C$6=2022,G12,IF(Premissas!$C$6=2023,J12,IF(Premissas!$C$6=2024,M12,AVERAGE(G12,J12,M12))))</f>
        <v>393.33000000000004</v>
      </c>
      <c r="O12" s="33">
        <v>17.71</v>
      </c>
    </row>
    <row r="13" spans="1:15" ht="14.25" customHeight="1" x14ac:dyDescent="0.3">
      <c r="A13" s="12" t="s">
        <v>156</v>
      </c>
      <c r="B13" s="16" t="s">
        <v>147</v>
      </c>
      <c r="C13" s="16">
        <v>0</v>
      </c>
      <c r="D13" s="22" t="s">
        <v>148</v>
      </c>
      <c r="E13" s="33">
        <v>102.72</v>
      </c>
      <c r="F13" s="33">
        <v>251.92</v>
      </c>
      <c r="G13" s="34">
        <f t="shared" si="0"/>
        <v>354.64</v>
      </c>
      <c r="H13" s="33">
        <v>115.75</v>
      </c>
      <c r="I13" s="33">
        <v>328.49</v>
      </c>
      <c r="J13" s="34">
        <f t="shared" si="1"/>
        <v>444.24</v>
      </c>
      <c r="K13" s="33">
        <v>133.46</v>
      </c>
      <c r="L13" s="33">
        <v>321.48</v>
      </c>
      <c r="M13" s="34">
        <f t="shared" si="2"/>
        <v>454.94000000000005</v>
      </c>
      <c r="N13" s="34">
        <f>IF(Premissas!$C$6=2022,G13,IF(Premissas!$C$6=2023,J13,IF(Premissas!$C$6=2024,M13,AVERAGE(G13,J13,M13))))</f>
        <v>454.94000000000005</v>
      </c>
      <c r="O13" s="33">
        <v>40.51</v>
      </c>
    </row>
    <row r="14" spans="1:15" ht="14.25" customHeight="1" x14ac:dyDescent="0.3">
      <c r="A14" s="12" t="s">
        <v>157</v>
      </c>
      <c r="B14" s="16" t="s">
        <v>158</v>
      </c>
      <c r="C14" s="16">
        <v>1</v>
      </c>
      <c r="D14" s="22" t="s">
        <v>145</v>
      </c>
      <c r="E14" s="33">
        <v>117.81</v>
      </c>
      <c r="F14" s="33">
        <v>231.69</v>
      </c>
      <c r="G14" s="34">
        <f t="shared" si="0"/>
        <v>349.5</v>
      </c>
      <c r="H14" s="33">
        <v>115.3</v>
      </c>
      <c r="I14" s="33">
        <v>298.38</v>
      </c>
      <c r="J14" s="34">
        <f t="shared" si="1"/>
        <v>413.68</v>
      </c>
      <c r="K14" s="33">
        <v>122.95</v>
      </c>
      <c r="L14" s="33">
        <v>297.69</v>
      </c>
      <c r="M14" s="34">
        <f t="shared" si="2"/>
        <v>420.64</v>
      </c>
      <c r="N14" s="34">
        <f>IF(Premissas!$C$6=2022,G14,IF(Premissas!$C$6=2023,J14,IF(Premissas!$C$6=2024,M14,AVERAGE(G14,J14,M14))))</f>
        <v>420.64</v>
      </c>
      <c r="O14" s="33">
        <v>22.23</v>
      </c>
    </row>
    <row r="15" spans="1:15" ht="14.25" customHeight="1" x14ac:dyDescent="0.3">
      <c r="A15" s="12" t="s">
        <v>159</v>
      </c>
      <c r="B15" s="16" t="s">
        <v>147</v>
      </c>
      <c r="C15" s="16">
        <v>0</v>
      </c>
      <c r="D15" s="22" t="s">
        <v>148</v>
      </c>
      <c r="E15" s="33">
        <v>100.35</v>
      </c>
      <c r="F15" s="33">
        <v>210.64</v>
      </c>
      <c r="G15" s="34">
        <f t="shared" si="0"/>
        <v>310.99</v>
      </c>
      <c r="H15" s="33">
        <v>101.9</v>
      </c>
      <c r="I15" s="33">
        <v>177.61</v>
      </c>
      <c r="J15" s="34">
        <f t="shared" si="1"/>
        <v>279.51</v>
      </c>
      <c r="K15" s="33">
        <v>99.25</v>
      </c>
      <c r="L15" s="33">
        <v>222.84</v>
      </c>
      <c r="M15" s="34">
        <f t="shared" si="2"/>
        <v>322.09000000000003</v>
      </c>
      <c r="N15" s="34">
        <f>IF(Premissas!$C$6=2022,G15,IF(Premissas!$C$6=2023,J15,IF(Premissas!$C$6=2024,M15,AVERAGE(G15,J15,M15))))</f>
        <v>322.09000000000003</v>
      </c>
      <c r="O15" s="33">
        <v>27.69</v>
      </c>
    </row>
    <row r="16" spans="1:15" ht="14.25" customHeight="1" x14ac:dyDescent="0.3">
      <c r="A16" s="12" t="s">
        <v>160</v>
      </c>
      <c r="B16" s="16" t="s">
        <v>147</v>
      </c>
      <c r="C16" s="16">
        <v>0</v>
      </c>
      <c r="D16" s="22" t="s">
        <v>148</v>
      </c>
      <c r="E16" s="33">
        <v>104.84</v>
      </c>
      <c r="F16" s="33">
        <v>202.43</v>
      </c>
      <c r="G16" s="34">
        <f t="shared" si="0"/>
        <v>307.27</v>
      </c>
      <c r="H16" s="33">
        <v>87.83</v>
      </c>
      <c r="I16" s="33">
        <v>189.02</v>
      </c>
      <c r="J16" s="34">
        <f t="shared" si="1"/>
        <v>276.85000000000002</v>
      </c>
      <c r="K16" s="33">
        <v>100.63</v>
      </c>
      <c r="L16" s="33">
        <v>190.57</v>
      </c>
      <c r="M16" s="34">
        <f t="shared" si="2"/>
        <v>291.2</v>
      </c>
      <c r="N16" s="34">
        <f>IF(Premissas!$C$6=2022,G16,IF(Premissas!$C$6=2023,J16,IF(Premissas!$C$6=2024,M16,AVERAGE(G16,J16,M16))))</f>
        <v>291.2</v>
      </c>
      <c r="O16" s="33">
        <v>33.28</v>
      </c>
    </row>
    <row r="17" spans="1:15" ht="14.25" customHeight="1" x14ac:dyDescent="0.3">
      <c r="A17" s="12" t="s">
        <v>161</v>
      </c>
      <c r="B17" s="16" t="s">
        <v>147</v>
      </c>
      <c r="C17" s="16">
        <v>0</v>
      </c>
      <c r="D17" s="22" t="s">
        <v>148</v>
      </c>
      <c r="E17" s="33">
        <v>124.05</v>
      </c>
      <c r="F17" s="33">
        <v>192.1</v>
      </c>
      <c r="G17" s="34">
        <f t="shared" si="0"/>
        <v>316.14999999999998</v>
      </c>
      <c r="H17" s="33">
        <v>103.18</v>
      </c>
      <c r="I17" s="33">
        <v>206.59</v>
      </c>
      <c r="J17" s="34">
        <f t="shared" si="1"/>
        <v>309.77</v>
      </c>
      <c r="K17" s="33">
        <v>92.09</v>
      </c>
      <c r="L17" s="33">
        <v>189.61</v>
      </c>
      <c r="M17" s="34">
        <f t="shared" si="2"/>
        <v>281.70000000000005</v>
      </c>
      <c r="N17" s="34">
        <f>IF(Premissas!$C$6=2022,G17,IF(Premissas!$C$6=2023,J17,IF(Premissas!$C$6=2024,M17,AVERAGE(G17,J17,M17))))</f>
        <v>281.70000000000005</v>
      </c>
      <c r="O17" s="33">
        <v>40.69</v>
      </c>
    </row>
    <row r="18" spans="1:15" ht="14.25" customHeight="1" x14ac:dyDescent="0.3">
      <c r="A18" s="12" t="s">
        <v>162</v>
      </c>
      <c r="B18" s="16" t="s">
        <v>147</v>
      </c>
      <c r="C18" s="16">
        <v>0</v>
      </c>
      <c r="D18" s="22" t="s">
        <v>148</v>
      </c>
      <c r="E18" s="33">
        <v>133.18</v>
      </c>
      <c r="F18" s="33">
        <v>330.73</v>
      </c>
      <c r="G18" s="34">
        <f t="shared" si="0"/>
        <v>463.91</v>
      </c>
      <c r="H18" s="33">
        <v>140.72999999999999</v>
      </c>
      <c r="I18" s="33">
        <v>401.35</v>
      </c>
      <c r="J18" s="34">
        <f t="shared" si="1"/>
        <v>542.08000000000004</v>
      </c>
      <c r="K18" s="33">
        <v>115.46</v>
      </c>
      <c r="L18" s="33">
        <v>405.11</v>
      </c>
      <c r="M18" s="34">
        <f t="shared" si="2"/>
        <v>520.57000000000005</v>
      </c>
      <c r="N18" s="34">
        <f>IF(Premissas!$C$6=2022,G18,IF(Premissas!$C$6=2023,J18,IF(Premissas!$C$6=2024,M18,AVERAGE(G18,J18,M18))))</f>
        <v>520.57000000000005</v>
      </c>
      <c r="O18" s="33">
        <v>74.349999999999994</v>
      </c>
    </row>
    <row r="19" spans="1:15" ht="14.25" customHeight="1" x14ac:dyDescent="0.3">
      <c r="A19" s="12" t="s">
        <v>163</v>
      </c>
      <c r="B19" s="16" t="s">
        <v>147</v>
      </c>
      <c r="C19" s="16">
        <v>0</v>
      </c>
      <c r="D19" s="22" t="s">
        <v>148</v>
      </c>
      <c r="E19" s="33">
        <v>95.85</v>
      </c>
      <c r="F19" s="33">
        <v>233.16</v>
      </c>
      <c r="G19" s="34">
        <f t="shared" si="0"/>
        <v>329.01</v>
      </c>
      <c r="H19" s="33">
        <v>90.03</v>
      </c>
      <c r="I19" s="33">
        <v>267</v>
      </c>
      <c r="J19" s="34">
        <f t="shared" si="1"/>
        <v>357.03</v>
      </c>
      <c r="K19" s="33">
        <v>92.33</v>
      </c>
      <c r="L19" s="33">
        <v>203.54</v>
      </c>
      <c r="M19" s="34">
        <f t="shared" si="2"/>
        <v>295.87</v>
      </c>
      <c r="N19" s="34">
        <f>IF(Premissas!$C$6=2022,G19,IF(Premissas!$C$6=2023,J19,IF(Premissas!$C$6=2024,M19,AVERAGE(G19,J19,M19))))</f>
        <v>295.87</v>
      </c>
      <c r="O19" s="33">
        <v>42.82</v>
      </c>
    </row>
    <row r="20" spans="1:15" ht="14.25" customHeight="1" x14ac:dyDescent="0.3">
      <c r="A20" s="12" t="s">
        <v>164</v>
      </c>
      <c r="B20" s="16" t="s">
        <v>147</v>
      </c>
      <c r="C20" s="16">
        <v>0</v>
      </c>
      <c r="D20" s="22" t="s">
        <v>148</v>
      </c>
      <c r="E20" s="33">
        <v>102.89</v>
      </c>
      <c r="F20" s="33">
        <v>203.38</v>
      </c>
      <c r="G20" s="34">
        <f t="shared" si="0"/>
        <v>306.27</v>
      </c>
      <c r="H20" s="33">
        <v>90.37</v>
      </c>
      <c r="I20" s="33">
        <v>203.8</v>
      </c>
      <c r="J20" s="34">
        <f t="shared" si="1"/>
        <v>294.17</v>
      </c>
      <c r="K20" s="33">
        <v>93.91</v>
      </c>
      <c r="L20" s="33">
        <v>204.55</v>
      </c>
      <c r="M20" s="34">
        <f t="shared" si="2"/>
        <v>298.46000000000004</v>
      </c>
      <c r="N20" s="34">
        <f>IF(Premissas!$C$6=2022,G20,IF(Premissas!$C$6=2023,J20,IF(Premissas!$C$6=2024,M20,AVERAGE(G20,J20,M20))))</f>
        <v>298.46000000000004</v>
      </c>
      <c r="O20" s="33">
        <v>21.73</v>
      </c>
    </row>
    <row r="21" spans="1:15" ht="14.25" customHeight="1" x14ac:dyDescent="0.3">
      <c r="A21" s="12" t="s">
        <v>165</v>
      </c>
      <c r="B21" s="16" t="s">
        <v>147</v>
      </c>
      <c r="C21" s="16">
        <v>0</v>
      </c>
      <c r="D21" s="22" t="s">
        <v>148</v>
      </c>
      <c r="E21" s="33">
        <v>136.86000000000001</v>
      </c>
      <c r="F21" s="33">
        <v>260.8</v>
      </c>
      <c r="G21" s="34">
        <f t="shared" si="0"/>
        <v>397.66</v>
      </c>
      <c r="H21" s="33">
        <v>148.37</v>
      </c>
      <c r="I21" s="33">
        <v>361.51</v>
      </c>
      <c r="J21" s="34">
        <f t="shared" si="1"/>
        <v>509.88</v>
      </c>
      <c r="K21" s="33">
        <v>132.16</v>
      </c>
      <c r="L21" s="33">
        <v>436.67</v>
      </c>
      <c r="M21" s="34">
        <f t="shared" si="2"/>
        <v>568.83000000000004</v>
      </c>
      <c r="N21" s="34">
        <f>IF(Premissas!$C$6=2022,G21,IF(Premissas!$C$6=2023,J21,IF(Premissas!$C$6=2024,M21,AVERAGE(G21,J21,M21))))</f>
        <v>568.83000000000004</v>
      </c>
      <c r="O21" s="33">
        <v>55.37</v>
      </c>
    </row>
    <row r="22" spans="1:15" ht="14.25" customHeight="1" x14ac:dyDescent="0.3">
      <c r="A22" s="12" t="s">
        <v>166</v>
      </c>
      <c r="B22" s="16" t="s">
        <v>147</v>
      </c>
      <c r="C22" s="16">
        <v>0</v>
      </c>
      <c r="D22" s="22" t="s">
        <v>148</v>
      </c>
      <c r="E22" s="33">
        <v>67.08</v>
      </c>
      <c r="F22" s="33">
        <v>256.69</v>
      </c>
      <c r="G22" s="34">
        <f t="shared" si="0"/>
        <v>323.77</v>
      </c>
      <c r="H22" s="33">
        <v>73.349999999999994</v>
      </c>
      <c r="I22" s="33">
        <v>321.58999999999997</v>
      </c>
      <c r="J22" s="34">
        <f t="shared" si="1"/>
        <v>394.93999999999994</v>
      </c>
      <c r="K22" s="33">
        <v>69.53</v>
      </c>
      <c r="L22" s="33">
        <v>316.27</v>
      </c>
      <c r="M22" s="34">
        <f t="shared" si="2"/>
        <v>385.79999999999995</v>
      </c>
      <c r="N22" s="34">
        <f>IF(Premissas!$C$6=2022,G22,IF(Premissas!$C$6=2023,J22,IF(Premissas!$C$6=2024,M22,AVERAGE(G22,J22,M22))))</f>
        <v>385.79999999999995</v>
      </c>
      <c r="O22" s="33">
        <v>48.2</v>
      </c>
    </row>
    <row r="23" spans="1:15" ht="14.25" customHeight="1" x14ac:dyDescent="0.3">
      <c r="A23" s="12" t="s">
        <v>167</v>
      </c>
      <c r="B23" s="16" t="s">
        <v>147</v>
      </c>
      <c r="C23" s="16">
        <v>0</v>
      </c>
      <c r="D23" s="22" t="s">
        <v>148</v>
      </c>
      <c r="E23" s="33">
        <v>104.33</v>
      </c>
      <c r="F23" s="33">
        <v>166.76</v>
      </c>
      <c r="G23" s="34">
        <f t="shared" si="0"/>
        <v>271.08999999999997</v>
      </c>
      <c r="H23" s="33">
        <v>93.13</v>
      </c>
      <c r="I23" s="33">
        <v>207.28</v>
      </c>
      <c r="J23" s="34">
        <f t="shared" si="1"/>
        <v>300.40999999999997</v>
      </c>
      <c r="K23" s="33">
        <v>98.65</v>
      </c>
      <c r="L23" s="33">
        <v>220.48</v>
      </c>
      <c r="M23" s="34">
        <f t="shared" si="2"/>
        <v>319.13</v>
      </c>
      <c r="N23" s="34">
        <f>IF(Premissas!$C$6=2022,G23,IF(Premissas!$C$6=2023,J23,IF(Premissas!$C$6=2024,M23,AVERAGE(G23,J23,M23))))</f>
        <v>319.13</v>
      </c>
      <c r="O23" s="33">
        <v>43.43</v>
      </c>
    </row>
    <row r="24" spans="1:15" ht="14.25" customHeight="1" x14ac:dyDescent="0.3">
      <c r="A24" s="12" t="s">
        <v>168</v>
      </c>
      <c r="B24" s="16" t="s">
        <v>147</v>
      </c>
      <c r="C24" s="16">
        <v>0</v>
      </c>
      <c r="D24" s="22" t="s">
        <v>148</v>
      </c>
      <c r="E24" s="33">
        <v>135.58000000000001</v>
      </c>
      <c r="F24" s="33">
        <v>225.79</v>
      </c>
      <c r="G24" s="34">
        <f t="shared" si="0"/>
        <v>361.37</v>
      </c>
      <c r="H24" s="33">
        <v>127.97</v>
      </c>
      <c r="I24" s="33">
        <v>341.19</v>
      </c>
      <c r="J24" s="34">
        <f t="shared" si="1"/>
        <v>469.15999999999997</v>
      </c>
      <c r="K24" s="33">
        <v>112.12</v>
      </c>
      <c r="L24" s="33">
        <v>431.19</v>
      </c>
      <c r="M24" s="34">
        <f t="shared" si="2"/>
        <v>543.30999999999995</v>
      </c>
      <c r="N24" s="34">
        <f>IF(Premissas!$C$6=2022,G24,IF(Premissas!$C$6=2023,J24,IF(Premissas!$C$6=2024,M24,AVERAGE(G24,J24,M24))))</f>
        <v>543.30999999999995</v>
      </c>
      <c r="O24" s="33">
        <v>91.02</v>
      </c>
    </row>
    <row r="25" spans="1:15" ht="14.25" customHeight="1" x14ac:dyDescent="0.3">
      <c r="A25" s="12" t="s">
        <v>169</v>
      </c>
      <c r="B25" s="16" t="s">
        <v>147</v>
      </c>
      <c r="C25" s="16">
        <v>0</v>
      </c>
      <c r="D25" s="22" t="s">
        <v>148</v>
      </c>
      <c r="E25" s="33">
        <v>96.03</v>
      </c>
      <c r="F25" s="33">
        <v>243.99</v>
      </c>
      <c r="G25" s="34">
        <f t="shared" si="0"/>
        <v>340.02</v>
      </c>
      <c r="H25" s="33">
        <v>90.88</v>
      </c>
      <c r="I25" s="33">
        <v>267.75</v>
      </c>
      <c r="J25" s="34">
        <f t="shared" si="1"/>
        <v>358.63</v>
      </c>
      <c r="K25" s="33">
        <v>93.41</v>
      </c>
      <c r="L25" s="33">
        <v>212.16</v>
      </c>
      <c r="M25" s="34">
        <f t="shared" si="2"/>
        <v>305.57</v>
      </c>
      <c r="N25" s="34">
        <f>IF(Premissas!$C$6=2022,G25,IF(Premissas!$C$6=2023,J25,IF(Premissas!$C$6=2024,M25,AVERAGE(G25,J25,M25))))</f>
        <v>305.57</v>
      </c>
      <c r="O25" s="33">
        <v>33.61</v>
      </c>
    </row>
    <row r="26" spans="1:15" ht="14.25" customHeight="1" x14ac:dyDescent="0.3">
      <c r="A26" s="12" t="s">
        <v>170</v>
      </c>
      <c r="B26" s="16" t="s">
        <v>147</v>
      </c>
      <c r="C26" s="16">
        <v>0</v>
      </c>
      <c r="D26" s="22" t="s">
        <v>148</v>
      </c>
      <c r="E26" s="33">
        <v>118.24</v>
      </c>
      <c r="F26" s="33">
        <v>195.8</v>
      </c>
      <c r="G26" s="34">
        <f t="shared" si="0"/>
        <v>314.04000000000002</v>
      </c>
      <c r="H26" s="33">
        <v>101.47</v>
      </c>
      <c r="I26" s="33">
        <v>206.1</v>
      </c>
      <c r="J26" s="34">
        <f t="shared" si="1"/>
        <v>307.57</v>
      </c>
      <c r="K26" s="33">
        <v>97.49</v>
      </c>
      <c r="L26" s="33">
        <v>227.91</v>
      </c>
      <c r="M26" s="34">
        <f t="shared" si="2"/>
        <v>325.39999999999998</v>
      </c>
      <c r="N26" s="34">
        <f>IF(Premissas!$C$6=2022,G26,IF(Premissas!$C$6=2023,J26,IF(Premissas!$C$6=2024,M26,AVERAGE(G26,J26,M26))))</f>
        <v>325.39999999999998</v>
      </c>
      <c r="O26" s="33">
        <v>33.32</v>
      </c>
    </row>
    <row r="27" spans="1:15" ht="14.25" customHeight="1" x14ac:dyDescent="0.3">
      <c r="A27" s="12" t="s">
        <v>171</v>
      </c>
      <c r="B27" s="16" t="s">
        <v>147</v>
      </c>
      <c r="C27" s="16">
        <v>0</v>
      </c>
      <c r="D27" s="22" t="s">
        <v>148</v>
      </c>
      <c r="E27" s="33">
        <v>108.47</v>
      </c>
      <c r="F27" s="33">
        <v>173.79</v>
      </c>
      <c r="G27" s="34">
        <f t="shared" si="0"/>
        <v>282.26</v>
      </c>
      <c r="H27" s="33">
        <v>96.67</v>
      </c>
      <c r="I27" s="33">
        <v>206.45</v>
      </c>
      <c r="J27" s="34">
        <f t="shared" si="1"/>
        <v>303.12</v>
      </c>
      <c r="K27" s="33">
        <v>86.23</v>
      </c>
      <c r="L27" s="33">
        <v>217.09</v>
      </c>
      <c r="M27" s="34">
        <f t="shared" si="2"/>
        <v>303.32</v>
      </c>
      <c r="N27" s="34">
        <f>IF(Premissas!$C$6=2022,G27,IF(Premissas!$C$6=2023,J27,IF(Premissas!$C$6=2024,M27,AVERAGE(G27,J27,M27))))</f>
        <v>303.32</v>
      </c>
      <c r="O27" s="33">
        <v>30.05</v>
      </c>
    </row>
    <row r="28" spans="1:15" ht="14.25" customHeight="1" x14ac:dyDescent="0.3">
      <c r="A28" s="12" t="s">
        <v>172</v>
      </c>
      <c r="B28" s="16" t="s">
        <v>147</v>
      </c>
      <c r="C28" s="16">
        <v>0</v>
      </c>
      <c r="D28" s="22" t="s">
        <v>148</v>
      </c>
      <c r="E28" s="33">
        <v>97.45</v>
      </c>
      <c r="F28" s="33">
        <v>153.96</v>
      </c>
      <c r="G28" s="34">
        <f t="shared" si="0"/>
        <v>251.41000000000003</v>
      </c>
      <c r="H28" s="33">
        <v>86.01</v>
      </c>
      <c r="I28" s="33">
        <v>243.33</v>
      </c>
      <c r="J28" s="34">
        <f t="shared" si="1"/>
        <v>329.34000000000003</v>
      </c>
      <c r="K28" s="33">
        <v>91.77</v>
      </c>
      <c r="L28" s="33">
        <v>204.85</v>
      </c>
      <c r="M28" s="34">
        <f t="shared" si="2"/>
        <v>296.62</v>
      </c>
      <c r="N28" s="34">
        <f>IF(Premissas!$C$6=2022,G28,IF(Premissas!$C$6=2023,J28,IF(Premissas!$C$6=2024,M28,AVERAGE(G28,J28,M28))))</f>
        <v>296.62</v>
      </c>
      <c r="O28" s="33">
        <v>41.89</v>
      </c>
    </row>
    <row r="29" spans="1:15" ht="14.25" customHeight="1" x14ac:dyDescent="0.3">
      <c r="A29" s="12" t="s">
        <v>173</v>
      </c>
      <c r="B29" s="16" t="s">
        <v>147</v>
      </c>
      <c r="C29" s="16">
        <v>0</v>
      </c>
      <c r="D29" s="22" t="s">
        <v>148</v>
      </c>
      <c r="E29" s="33">
        <v>103.04</v>
      </c>
      <c r="F29" s="33">
        <v>206.82</v>
      </c>
      <c r="G29" s="34">
        <f t="shared" si="0"/>
        <v>309.86</v>
      </c>
      <c r="H29" s="33">
        <v>102.56</v>
      </c>
      <c r="I29" s="33">
        <v>199.45</v>
      </c>
      <c r="J29" s="34">
        <f t="shared" si="1"/>
        <v>302.01</v>
      </c>
      <c r="K29" s="33">
        <v>96.13</v>
      </c>
      <c r="L29" s="33">
        <v>216.78</v>
      </c>
      <c r="M29" s="34">
        <f t="shared" si="2"/>
        <v>312.90999999999997</v>
      </c>
      <c r="N29" s="34">
        <f>IF(Premissas!$C$6=2022,G29,IF(Premissas!$C$6=2023,J29,IF(Premissas!$C$6=2024,M29,AVERAGE(G29,J29,M29))))</f>
        <v>312.90999999999997</v>
      </c>
      <c r="O29" s="33">
        <v>30.59</v>
      </c>
    </row>
    <row r="30" spans="1:15" ht="14.25" customHeight="1" x14ac:dyDescent="0.3">
      <c r="A30" s="12" t="s">
        <v>174</v>
      </c>
      <c r="B30" s="16" t="s">
        <v>147</v>
      </c>
      <c r="C30" s="16">
        <v>0</v>
      </c>
      <c r="D30" s="22" t="s">
        <v>148</v>
      </c>
      <c r="E30" s="33">
        <v>95.21</v>
      </c>
      <c r="F30" s="33">
        <v>185.96</v>
      </c>
      <c r="G30" s="34">
        <f t="shared" si="0"/>
        <v>281.17</v>
      </c>
      <c r="H30" s="33">
        <v>83.14</v>
      </c>
      <c r="I30" s="33">
        <v>223.73</v>
      </c>
      <c r="J30" s="34">
        <f t="shared" si="1"/>
        <v>306.87</v>
      </c>
      <c r="K30" s="33">
        <v>89.35</v>
      </c>
      <c r="L30" s="33">
        <v>224.45</v>
      </c>
      <c r="M30" s="34">
        <f t="shared" si="2"/>
        <v>313.79999999999995</v>
      </c>
      <c r="N30" s="34">
        <f>IF(Premissas!$C$6=2022,G30,IF(Premissas!$C$6=2023,J30,IF(Premissas!$C$6=2024,M30,AVERAGE(G30,J30,M30))))</f>
        <v>313.79999999999995</v>
      </c>
      <c r="O30" s="33">
        <v>25</v>
      </c>
    </row>
    <row r="31" spans="1:15" ht="14.25" customHeight="1" x14ac:dyDescent="0.3">
      <c r="A31" s="12" t="s">
        <v>175</v>
      </c>
      <c r="B31" s="16" t="s">
        <v>147</v>
      </c>
      <c r="C31" s="16">
        <v>0</v>
      </c>
      <c r="D31" s="22" t="s">
        <v>148</v>
      </c>
      <c r="E31" s="33">
        <v>103.31</v>
      </c>
      <c r="F31" s="33">
        <v>217.63</v>
      </c>
      <c r="G31" s="34">
        <f t="shared" si="0"/>
        <v>320.94</v>
      </c>
      <c r="H31" s="33">
        <v>128.44</v>
      </c>
      <c r="I31" s="33">
        <v>219.17</v>
      </c>
      <c r="J31" s="34">
        <f t="shared" si="1"/>
        <v>347.61</v>
      </c>
      <c r="K31" s="33">
        <v>82.17</v>
      </c>
      <c r="L31" s="33">
        <v>204.53</v>
      </c>
      <c r="M31" s="34">
        <f t="shared" si="2"/>
        <v>286.7</v>
      </c>
      <c r="N31" s="34">
        <f>IF(Premissas!$C$6=2022,G31,IF(Premissas!$C$6=2023,J31,IF(Premissas!$C$6=2024,M31,AVERAGE(G31,J31,M31))))</f>
        <v>286.7</v>
      </c>
      <c r="O31" s="33">
        <v>39.5</v>
      </c>
    </row>
    <row r="32" spans="1:15" ht="14.25" customHeight="1" x14ac:dyDescent="0.3">
      <c r="A32" s="12" t="s">
        <v>176</v>
      </c>
      <c r="B32" s="16" t="s">
        <v>147</v>
      </c>
      <c r="C32" s="16">
        <v>0</v>
      </c>
      <c r="D32" s="22" t="s">
        <v>148</v>
      </c>
      <c r="E32" s="33">
        <v>97.14</v>
      </c>
      <c r="F32" s="33">
        <v>116.43</v>
      </c>
      <c r="G32" s="34">
        <f t="shared" si="0"/>
        <v>213.57</v>
      </c>
      <c r="H32" s="33">
        <v>94.17</v>
      </c>
      <c r="I32" s="33">
        <v>231.25</v>
      </c>
      <c r="J32" s="34">
        <f t="shared" si="1"/>
        <v>325.42</v>
      </c>
      <c r="K32" s="33">
        <v>94.15</v>
      </c>
      <c r="L32" s="33">
        <v>287.10000000000002</v>
      </c>
      <c r="M32" s="34">
        <f t="shared" si="2"/>
        <v>381.25</v>
      </c>
      <c r="N32" s="34">
        <f>IF(Premissas!$C$6=2022,G32,IF(Premissas!$C$6=2023,J32,IF(Premissas!$C$6=2024,M32,AVERAGE(G32,J32,M32))))</f>
        <v>381.25</v>
      </c>
      <c r="O32" s="33">
        <v>28.25</v>
      </c>
    </row>
    <row r="33" spans="1:15" ht="14.25" customHeight="1" x14ac:dyDescent="0.3">
      <c r="A33" s="12" t="s">
        <v>177</v>
      </c>
      <c r="B33" s="16" t="s">
        <v>147</v>
      </c>
      <c r="C33" s="16">
        <v>0</v>
      </c>
      <c r="D33" s="22" t="s">
        <v>148</v>
      </c>
      <c r="E33" s="33">
        <v>102.25</v>
      </c>
      <c r="F33" s="33">
        <v>323.17</v>
      </c>
      <c r="G33" s="34">
        <f t="shared" si="0"/>
        <v>425.42</v>
      </c>
      <c r="H33" s="33">
        <v>91.38</v>
      </c>
      <c r="I33" s="33">
        <v>314.16000000000003</v>
      </c>
      <c r="J33" s="34">
        <f t="shared" si="1"/>
        <v>405.54</v>
      </c>
      <c r="K33" s="33">
        <v>94.01</v>
      </c>
      <c r="L33" s="33">
        <v>288.86</v>
      </c>
      <c r="M33" s="34">
        <f t="shared" si="2"/>
        <v>382.87</v>
      </c>
      <c r="N33" s="34">
        <f>IF(Premissas!$C$6=2022,G33,IF(Premissas!$C$6=2023,J33,IF(Premissas!$C$6=2024,M33,AVERAGE(G33,J33,M33))))</f>
        <v>382.87</v>
      </c>
      <c r="O33" s="33">
        <v>19.95</v>
      </c>
    </row>
    <row r="34" spans="1:15" ht="14.25" customHeight="1" x14ac:dyDescent="0.3">
      <c r="A34" s="12" t="s">
        <v>178</v>
      </c>
      <c r="B34" s="16" t="s">
        <v>147</v>
      </c>
      <c r="C34" s="16">
        <v>0</v>
      </c>
      <c r="D34" s="22" t="s">
        <v>148</v>
      </c>
      <c r="E34" s="33">
        <v>98.87</v>
      </c>
      <c r="F34" s="33">
        <v>216.8</v>
      </c>
      <c r="G34" s="34">
        <f t="shared" si="0"/>
        <v>315.67</v>
      </c>
      <c r="H34" s="33">
        <v>87.33</v>
      </c>
      <c r="I34" s="33">
        <v>155.84</v>
      </c>
      <c r="J34" s="34">
        <f t="shared" si="1"/>
        <v>243.17000000000002</v>
      </c>
      <c r="K34" s="33">
        <v>120.56</v>
      </c>
      <c r="L34" s="33">
        <v>207.93</v>
      </c>
      <c r="M34" s="34">
        <f t="shared" si="2"/>
        <v>328.49</v>
      </c>
      <c r="N34" s="34">
        <f>IF(Premissas!$C$6=2022,G34,IF(Premissas!$C$6=2023,J34,IF(Premissas!$C$6=2024,M34,AVERAGE(G34,J34,M34))))</f>
        <v>328.49</v>
      </c>
      <c r="O34" s="33">
        <v>32.01</v>
      </c>
    </row>
    <row r="35" spans="1:15" ht="14.25" customHeight="1" x14ac:dyDescent="0.3">
      <c r="A35" s="12" t="s">
        <v>179</v>
      </c>
      <c r="B35" s="16" t="s">
        <v>147</v>
      </c>
      <c r="C35" s="16">
        <v>0</v>
      </c>
      <c r="D35" s="22" t="s">
        <v>148</v>
      </c>
      <c r="E35" s="33">
        <v>94.52</v>
      </c>
      <c r="F35" s="33">
        <v>136.62</v>
      </c>
      <c r="G35" s="34">
        <f t="shared" si="0"/>
        <v>231.14</v>
      </c>
      <c r="H35" s="33">
        <v>91.85</v>
      </c>
      <c r="I35" s="33">
        <v>180.77</v>
      </c>
      <c r="J35" s="34">
        <f t="shared" si="1"/>
        <v>272.62</v>
      </c>
      <c r="K35" s="33">
        <v>88.79</v>
      </c>
      <c r="L35" s="33">
        <v>262.45999999999998</v>
      </c>
      <c r="M35" s="34">
        <f t="shared" si="2"/>
        <v>351.25</v>
      </c>
      <c r="N35" s="34">
        <f>IF(Premissas!$C$6=2022,G35,IF(Premissas!$C$6=2023,J35,IF(Premissas!$C$6=2024,M35,AVERAGE(G35,J35,M35))))</f>
        <v>351.25</v>
      </c>
      <c r="O35" s="33">
        <v>35.35</v>
      </c>
    </row>
    <row r="36" spans="1:15" ht="14.25" customHeight="1" x14ac:dyDescent="0.3">
      <c r="A36" s="12" t="s">
        <v>180</v>
      </c>
      <c r="B36" s="16" t="s">
        <v>147</v>
      </c>
      <c r="C36" s="16">
        <v>0</v>
      </c>
      <c r="D36" s="22" t="s">
        <v>148</v>
      </c>
      <c r="E36" s="33">
        <v>115.21</v>
      </c>
      <c r="F36" s="33">
        <v>221.69</v>
      </c>
      <c r="G36" s="34">
        <f t="shared" si="0"/>
        <v>336.9</v>
      </c>
      <c r="H36" s="33">
        <v>105.28</v>
      </c>
      <c r="I36" s="33">
        <v>301.16000000000003</v>
      </c>
      <c r="J36" s="34">
        <f t="shared" si="1"/>
        <v>406.44000000000005</v>
      </c>
      <c r="K36" s="33">
        <v>86.04</v>
      </c>
      <c r="L36" s="33">
        <v>217.92</v>
      </c>
      <c r="M36" s="34">
        <f t="shared" si="2"/>
        <v>303.95999999999998</v>
      </c>
      <c r="N36" s="34">
        <f>IF(Premissas!$C$6=2022,G36,IF(Premissas!$C$6=2023,J36,IF(Premissas!$C$6=2024,M36,AVERAGE(G36,J36,M36))))</f>
        <v>303.95999999999998</v>
      </c>
      <c r="O36" s="33">
        <v>33.25</v>
      </c>
    </row>
    <row r="37" spans="1:15" ht="14.25" customHeight="1" x14ac:dyDescent="0.3">
      <c r="A37" s="12" t="s">
        <v>181</v>
      </c>
      <c r="B37" s="16" t="s">
        <v>147</v>
      </c>
      <c r="C37" s="16">
        <v>0</v>
      </c>
      <c r="D37" s="22" t="s">
        <v>148</v>
      </c>
      <c r="E37" s="33">
        <v>91.42</v>
      </c>
      <c r="F37" s="33">
        <v>77.959999999999994</v>
      </c>
      <c r="G37" s="34">
        <f t="shared" ref="G37:G68" si="3">E37+F37</f>
        <v>169.38</v>
      </c>
      <c r="H37" s="33">
        <v>90.28</v>
      </c>
      <c r="I37" s="33">
        <v>306.87</v>
      </c>
      <c r="J37" s="34">
        <f t="shared" ref="J37:J68" si="4">H37+I37</f>
        <v>397.15</v>
      </c>
      <c r="K37" s="33">
        <v>95.31</v>
      </c>
      <c r="L37" s="33">
        <v>312.86</v>
      </c>
      <c r="M37" s="34">
        <f t="shared" ref="M37:M68" si="5">K37+L37</f>
        <v>408.17</v>
      </c>
      <c r="N37" s="34">
        <f>IF(Premissas!$C$6=2022,G37,IF(Premissas!$C$6=2023,J37,IF(Premissas!$C$6=2024,M37,AVERAGE(G37,J37,M37))))</f>
        <v>408.17</v>
      </c>
      <c r="O37" s="33">
        <v>40.9</v>
      </c>
    </row>
    <row r="38" spans="1:15" ht="14.25" customHeight="1" x14ac:dyDescent="0.3">
      <c r="A38" s="12" t="s">
        <v>182</v>
      </c>
      <c r="B38" s="16" t="s">
        <v>147</v>
      </c>
      <c r="C38" s="16">
        <v>0</v>
      </c>
      <c r="D38" s="22" t="s">
        <v>148</v>
      </c>
      <c r="E38" s="33">
        <v>96.55</v>
      </c>
      <c r="F38" s="33">
        <v>322.56</v>
      </c>
      <c r="G38" s="34">
        <f t="shared" si="3"/>
        <v>419.11</v>
      </c>
      <c r="H38" s="33">
        <v>81.27</v>
      </c>
      <c r="I38" s="33">
        <v>206.64</v>
      </c>
      <c r="J38" s="34">
        <f t="shared" si="4"/>
        <v>287.90999999999997</v>
      </c>
      <c r="K38" s="33">
        <v>88.44</v>
      </c>
      <c r="L38" s="33">
        <v>181.54</v>
      </c>
      <c r="M38" s="34">
        <f t="shared" si="5"/>
        <v>269.98</v>
      </c>
      <c r="N38" s="34">
        <f>IF(Premissas!$C$6=2022,G38,IF(Premissas!$C$6=2023,J38,IF(Premissas!$C$6=2024,M38,AVERAGE(G38,J38,M38))))</f>
        <v>269.98</v>
      </c>
      <c r="O38" s="33">
        <v>34.69</v>
      </c>
    </row>
    <row r="39" spans="1:15" ht="14.25" customHeight="1" x14ac:dyDescent="0.3">
      <c r="A39" s="12" t="s">
        <v>183</v>
      </c>
      <c r="B39" s="16" t="s">
        <v>147</v>
      </c>
      <c r="C39" s="16">
        <v>0</v>
      </c>
      <c r="D39" s="22" t="s">
        <v>148</v>
      </c>
      <c r="E39" s="33">
        <v>102.21</v>
      </c>
      <c r="F39" s="33">
        <v>286.54000000000002</v>
      </c>
      <c r="G39" s="34">
        <f t="shared" si="3"/>
        <v>388.75</v>
      </c>
      <c r="H39" s="33">
        <v>100.07</v>
      </c>
      <c r="I39" s="33">
        <v>339.67</v>
      </c>
      <c r="J39" s="34">
        <f t="shared" si="4"/>
        <v>439.74</v>
      </c>
      <c r="K39" s="33">
        <v>87.64</v>
      </c>
      <c r="L39" s="33">
        <v>334.24</v>
      </c>
      <c r="M39" s="34">
        <f t="shared" si="5"/>
        <v>421.88</v>
      </c>
      <c r="N39" s="34">
        <f>IF(Premissas!$C$6=2022,G39,IF(Premissas!$C$6=2023,J39,IF(Premissas!$C$6=2024,M39,AVERAGE(G39,J39,M39))))</f>
        <v>421.88</v>
      </c>
      <c r="O39" s="33">
        <v>34.06</v>
      </c>
    </row>
    <row r="40" spans="1:15" ht="14.25" customHeight="1" x14ac:dyDescent="0.3">
      <c r="A40" s="12" t="s">
        <v>184</v>
      </c>
      <c r="B40" s="16" t="s">
        <v>147</v>
      </c>
      <c r="C40" s="16">
        <v>0</v>
      </c>
      <c r="D40" s="22" t="s">
        <v>148</v>
      </c>
      <c r="E40" s="33">
        <v>108.85</v>
      </c>
      <c r="F40" s="33">
        <v>185.94</v>
      </c>
      <c r="G40" s="34">
        <f t="shared" si="3"/>
        <v>294.78999999999996</v>
      </c>
      <c r="H40" s="33">
        <v>106.41</v>
      </c>
      <c r="I40" s="33">
        <v>150.12</v>
      </c>
      <c r="J40" s="34">
        <f t="shared" si="4"/>
        <v>256.52999999999997</v>
      </c>
      <c r="K40" s="33">
        <v>97.51</v>
      </c>
      <c r="L40" s="33">
        <v>145.16</v>
      </c>
      <c r="M40" s="34">
        <f t="shared" si="5"/>
        <v>242.67000000000002</v>
      </c>
      <c r="N40" s="34">
        <f>IF(Premissas!$C$6=2022,G40,IF(Premissas!$C$6=2023,J40,IF(Premissas!$C$6=2024,M40,AVERAGE(G40,J40,M40))))</f>
        <v>242.67000000000002</v>
      </c>
      <c r="O40" s="33">
        <v>28.56</v>
      </c>
    </row>
    <row r="41" spans="1:15" ht="14.25" customHeight="1" x14ac:dyDescent="0.3">
      <c r="A41" s="12" t="s">
        <v>185</v>
      </c>
      <c r="B41" s="16" t="s">
        <v>147</v>
      </c>
      <c r="C41" s="16">
        <v>0</v>
      </c>
      <c r="D41" s="22" t="s">
        <v>148</v>
      </c>
      <c r="E41" s="33">
        <v>96.56</v>
      </c>
      <c r="F41" s="33">
        <v>134.09</v>
      </c>
      <c r="G41" s="34">
        <f t="shared" si="3"/>
        <v>230.65</v>
      </c>
      <c r="H41" s="33">
        <v>95.38</v>
      </c>
      <c r="I41" s="33">
        <v>179.91</v>
      </c>
      <c r="J41" s="34">
        <f t="shared" si="4"/>
        <v>275.28999999999996</v>
      </c>
      <c r="K41" s="33">
        <v>92.98</v>
      </c>
      <c r="L41" s="33">
        <v>189.61</v>
      </c>
      <c r="M41" s="34">
        <f t="shared" si="5"/>
        <v>282.59000000000003</v>
      </c>
      <c r="N41" s="34">
        <f>IF(Premissas!$C$6=2022,G41,IF(Premissas!$C$6=2023,J41,IF(Premissas!$C$6=2024,M41,AVERAGE(G41,J41,M41))))</f>
        <v>282.59000000000003</v>
      </c>
      <c r="O41" s="33">
        <v>20.38</v>
      </c>
    </row>
    <row r="42" spans="1:15" ht="14.25" customHeight="1" x14ac:dyDescent="0.3">
      <c r="A42" s="12" t="s">
        <v>186</v>
      </c>
      <c r="B42" s="16" t="s">
        <v>147</v>
      </c>
      <c r="C42" s="16">
        <v>0</v>
      </c>
      <c r="D42" s="22" t="s">
        <v>148</v>
      </c>
      <c r="E42" s="33">
        <v>94.53</v>
      </c>
      <c r="F42" s="33">
        <v>198.07</v>
      </c>
      <c r="G42" s="34">
        <f t="shared" si="3"/>
        <v>292.60000000000002</v>
      </c>
      <c r="H42" s="33">
        <v>88.81</v>
      </c>
      <c r="I42" s="33">
        <v>219.66</v>
      </c>
      <c r="J42" s="34">
        <f t="shared" si="4"/>
        <v>308.47000000000003</v>
      </c>
      <c r="K42" s="33">
        <v>96.82</v>
      </c>
      <c r="L42" s="33">
        <v>233.75</v>
      </c>
      <c r="M42" s="34">
        <f t="shared" si="5"/>
        <v>330.57</v>
      </c>
      <c r="N42" s="34">
        <f>IF(Premissas!$C$6=2022,G42,IF(Premissas!$C$6=2023,J42,IF(Premissas!$C$6=2024,M42,AVERAGE(G42,J42,M42))))</f>
        <v>330.57</v>
      </c>
      <c r="O42" s="33">
        <v>30.55</v>
      </c>
    </row>
    <row r="43" spans="1:15" ht="14.25" customHeight="1" x14ac:dyDescent="0.3">
      <c r="A43" s="12" t="s">
        <v>187</v>
      </c>
      <c r="B43" s="16" t="s">
        <v>147</v>
      </c>
      <c r="C43" s="16">
        <v>0</v>
      </c>
      <c r="D43" s="22" t="s">
        <v>148</v>
      </c>
      <c r="E43" s="33">
        <v>113.33</v>
      </c>
      <c r="F43" s="33">
        <v>197.64</v>
      </c>
      <c r="G43" s="34">
        <f t="shared" si="3"/>
        <v>310.96999999999997</v>
      </c>
      <c r="H43" s="33">
        <v>103.78</v>
      </c>
      <c r="I43" s="33">
        <v>195.88</v>
      </c>
      <c r="J43" s="34">
        <f t="shared" si="4"/>
        <v>299.65999999999997</v>
      </c>
      <c r="K43" s="33">
        <v>112.03</v>
      </c>
      <c r="L43" s="33">
        <v>215.27</v>
      </c>
      <c r="M43" s="34">
        <f t="shared" si="5"/>
        <v>327.3</v>
      </c>
      <c r="N43" s="34">
        <f>IF(Premissas!$C$6=2022,G43,IF(Premissas!$C$6=2023,J43,IF(Premissas!$C$6=2024,M43,AVERAGE(G43,J43,M43))))</f>
        <v>327.3</v>
      </c>
      <c r="O43" s="33">
        <v>53.45</v>
      </c>
    </row>
    <row r="44" spans="1:15" ht="14.25" customHeight="1" x14ac:dyDescent="0.3">
      <c r="A44" s="12" t="s">
        <v>188</v>
      </c>
      <c r="B44" s="16" t="s">
        <v>147</v>
      </c>
      <c r="C44" s="16">
        <v>0</v>
      </c>
      <c r="D44" s="22" t="s">
        <v>148</v>
      </c>
      <c r="E44" s="33">
        <v>96.23</v>
      </c>
      <c r="F44" s="33">
        <v>196</v>
      </c>
      <c r="G44" s="34">
        <f t="shared" si="3"/>
        <v>292.23</v>
      </c>
      <c r="H44" s="33">
        <v>95.05</v>
      </c>
      <c r="I44" s="33">
        <v>183.98</v>
      </c>
      <c r="J44" s="34">
        <f t="shared" si="4"/>
        <v>279.02999999999997</v>
      </c>
      <c r="K44" s="33">
        <v>98.42</v>
      </c>
      <c r="L44" s="33">
        <v>200.83</v>
      </c>
      <c r="M44" s="34">
        <f t="shared" si="5"/>
        <v>299.25</v>
      </c>
      <c r="N44" s="34">
        <f>IF(Premissas!$C$6=2022,G44,IF(Premissas!$C$6=2023,J44,IF(Premissas!$C$6=2024,M44,AVERAGE(G44,J44,M44))))</f>
        <v>299.25</v>
      </c>
      <c r="O44" s="33">
        <v>13.7</v>
      </c>
    </row>
    <row r="45" spans="1:15" ht="14.25" customHeight="1" x14ac:dyDescent="0.3">
      <c r="A45" s="12" t="s">
        <v>189</v>
      </c>
      <c r="B45" s="16" t="s">
        <v>147</v>
      </c>
      <c r="C45" s="16">
        <v>0</v>
      </c>
      <c r="D45" s="22" t="s">
        <v>148</v>
      </c>
      <c r="E45" s="33">
        <v>101.06</v>
      </c>
      <c r="F45" s="33">
        <v>122.59</v>
      </c>
      <c r="G45" s="34">
        <f t="shared" si="3"/>
        <v>223.65</v>
      </c>
      <c r="H45" s="33">
        <v>103.16</v>
      </c>
      <c r="I45" s="33">
        <v>152.25</v>
      </c>
      <c r="J45" s="34">
        <f t="shared" si="4"/>
        <v>255.41</v>
      </c>
      <c r="K45" s="33">
        <v>107.71</v>
      </c>
      <c r="L45" s="33">
        <v>198.13</v>
      </c>
      <c r="M45" s="34">
        <f t="shared" si="5"/>
        <v>305.83999999999997</v>
      </c>
      <c r="N45" s="34">
        <f>IF(Premissas!$C$6=2022,G45,IF(Premissas!$C$6=2023,J45,IF(Premissas!$C$6=2024,M45,AVERAGE(G45,J45,M45))))</f>
        <v>305.83999999999997</v>
      </c>
      <c r="O45" s="33">
        <v>48.79</v>
      </c>
    </row>
    <row r="46" spans="1:15" ht="14.25" customHeight="1" x14ac:dyDescent="0.3">
      <c r="A46" s="12" t="s">
        <v>190</v>
      </c>
      <c r="B46" s="16" t="s">
        <v>147</v>
      </c>
      <c r="C46" s="16">
        <v>0</v>
      </c>
      <c r="D46" s="22" t="s">
        <v>148</v>
      </c>
      <c r="E46" s="33">
        <v>100.15</v>
      </c>
      <c r="F46" s="33">
        <v>185.42</v>
      </c>
      <c r="G46" s="34">
        <f t="shared" si="3"/>
        <v>285.57</v>
      </c>
      <c r="H46" s="33">
        <v>101.3</v>
      </c>
      <c r="I46" s="33">
        <v>215.13</v>
      </c>
      <c r="J46" s="34">
        <f t="shared" si="4"/>
        <v>316.43</v>
      </c>
      <c r="K46" s="33">
        <v>83.66</v>
      </c>
      <c r="L46" s="33">
        <v>220.38</v>
      </c>
      <c r="M46" s="34">
        <f t="shared" si="5"/>
        <v>304.03999999999996</v>
      </c>
      <c r="N46" s="34">
        <f>IF(Premissas!$C$6=2022,G46,IF(Premissas!$C$6=2023,J46,IF(Premissas!$C$6=2024,M46,AVERAGE(G46,J46,M46))))</f>
        <v>304.03999999999996</v>
      </c>
      <c r="O46" s="33">
        <v>33.94</v>
      </c>
    </row>
    <row r="47" spans="1:15" ht="14.25" customHeight="1" x14ac:dyDescent="0.3">
      <c r="A47" s="12" t="s">
        <v>191</v>
      </c>
      <c r="B47" s="16" t="s">
        <v>147</v>
      </c>
      <c r="C47" s="16">
        <v>0</v>
      </c>
      <c r="D47" s="22" t="s">
        <v>148</v>
      </c>
      <c r="E47" s="33">
        <v>98.98</v>
      </c>
      <c r="F47" s="33">
        <v>188.23</v>
      </c>
      <c r="G47" s="34">
        <f t="shared" si="3"/>
        <v>287.20999999999998</v>
      </c>
      <c r="H47" s="33">
        <v>89.52</v>
      </c>
      <c r="I47" s="33">
        <v>237.22</v>
      </c>
      <c r="J47" s="34">
        <f t="shared" si="4"/>
        <v>326.74</v>
      </c>
      <c r="K47" s="33">
        <v>87.28</v>
      </c>
      <c r="L47" s="33">
        <v>218.19</v>
      </c>
      <c r="M47" s="34">
        <f t="shared" si="5"/>
        <v>305.47000000000003</v>
      </c>
      <c r="N47" s="34">
        <f>IF(Premissas!$C$6=2022,G47,IF(Premissas!$C$6=2023,J47,IF(Premissas!$C$6=2024,M47,AVERAGE(G47,J47,M47))))</f>
        <v>305.47000000000003</v>
      </c>
      <c r="O47" s="33">
        <v>30.44</v>
      </c>
    </row>
    <row r="48" spans="1:15" ht="14.25" customHeight="1" x14ac:dyDescent="0.3">
      <c r="A48" s="12" t="s">
        <v>192</v>
      </c>
      <c r="B48" s="16" t="s">
        <v>193</v>
      </c>
      <c r="C48" s="16">
        <v>0</v>
      </c>
      <c r="D48" s="22" t="s">
        <v>142</v>
      </c>
      <c r="E48" s="33">
        <v>145.72</v>
      </c>
      <c r="F48" s="33">
        <v>222.39</v>
      </c>
      <c r="G48" s="34">
        <f t="shared" si="3"/>
        <v>368.11</v>
      </c>
      <c r="H48" s="33">
        <v>97.83</v>
      </c>
      <c r="I48" s="33">
        <v>244.57</v>
      </c>
      <c r="J48" s="34">
        <f t="shared" si="4"/>
        <v>342.4</v>
      </c>
      <c r="K48" s="33">
        <v>97.89</v>
      </c>
      <c r="L48" s="33">
        <v>234.24</v>
      </c>
      <c r="M48" s="34">
        <f t="shared" si="5"/>
        <v>332.13</v>
      </c>
      <c r="N48" s="34">
        <f>IF(Premissas!$C$6=2022,G48,IF(Premissas!$C$6=2023,J48,IF(Premissas!$C$6=2024,M48,AVERAGE(G48,J48,M48))))</f>
        <v>332.13</v>
      </c>
      <c r="O48" s="33">
        <v>27.09</v>
      </c>
    </row>
    <row r="49" spans="1:15" ht="14.25" customHeight="1" x14ac:dyDescent="0.3">
      <c r="A49" s="12" t="s">
        <v>194</v>
      </c>
      <c r="B49" s="16" t="s">
        <v>141</v>
      </c>
      <c r="C49" s="16">
        <v>0</v>
      </c>
      <c r="D49" s="22" t="s">
        <v>142</v>
      </c>
      <c r="E49" s="33">
        <v>110.85</v>
      </c>
      <c r="F49" s="33">
        <v>247.2</v>
      </c>
      <c r="G49" s="34">
        <f t="shared" si="3"/>
        <v>358.04999999999995</v>
      </c>
      <c r="H49" s="33">
        <v>83.63</v>
      </c>
      <c r="I49" s="33">
        <v>228.93</v>
      </c>
      <c r="J49" s="34">
        <f t="shared" si="4"/>
        <v>312.56</v>
      </c>
      <c r="K49" s="33">
        <v>74.86</v>
      </c>
      <c r="L49" s="33">
        <v>186.83</v>
      </c>
      <c r="M49" s="34">
        <f t="shared" si="5"/>
        <v>261.69</v>
      </c>
      <c r="N49" s="34">
        <f>IF(Premissas!$C$6=2022,G49,IF(Premissas!$C$6=2023,J49,IF(Premissas!$C$6=2024,M49,AVERAGE(G49,J49,M49))))</f>
        <v>261.69</v>
      </c>
      <c r="O49" s="33">
        <v>15.68</v>
      </c>
    </row>
    <row r="50" spans="1:15" ht="14.25" customHeight="1" x14ac:dyDescent="0.3">
      <c r="A50" s="12" t="s">
        <v>195</v>
      </c>
      <c r="B50" s="16" t="s">
        <v>147</v>
      </c>
      <c r="C50" s="16">
        <v>0</v>
      </c>
      <c r="D50" s="22" t="s">
        <v>148</v>
      </c>
      <c r="E50" s="33">
        <v>93.33</v>
      </c>
      <c r="F50" s="33">
        <v>239.91</v>
      </c>
      <c r="G50" s="34">
        <f t="shared" si="3"/>
        <v>333.24</v>
      </c>
      <c r="H50" s="33">
        <v>88.85</v>
      </c>
      <c r="I50" s="33">
        <v>205.88</v>
      </c>
      <c r="J50" s="34">
        <f t="shared" si="4"/>
        <v>294.73</v>
      </c>
      <c r="K50" s="33">
        <v>83.3</v>
      </c>
      <c r="L50" s="33">
        <v>189.61</v>
      </c>
      <c r="M50" s="34">
        <f t="shared" si="5"/>
        <v>272.91000000000003</v>
      </c>
      <c r="N50" s="34">
        <f>IF(Premissas!$C$6=2022,G50,IF(Premissas!$C$6=2023,J50,IF(Premissas!$C$6=2024,M50,AVERAGE(G50,J50,M50))))</f>
        <v>272.91000000000003</v>
      </c>
      <c r="O50" s="33">
        <v>16.52</v>
      </c>
    </row>
    <row r="51" spans="1:15" ht="14.25" customHeight="1" x14ac:dyDescent="0.3">
      <c r="A51" s="12" t="s">
        <v>196</v>
      </c>
      <c r="B51" s="16" t="s">
        <v>197</v>
      </c>
      <c r="C51" s="16">
        <v>1</v>
      </c>
      <c r="D51" s="22" t="s">
        <v>145</v>
      </c>
      <c r="E51" s="33">
        <v>80.099999999999994</v>
      </c>
      <c r="F51" s="33">
        <v>256.95</v>
      </c>
      <c r="G51" s="34">
        <f t="shared" si="3"/>
        <v>337.04999999999995</v>
      </c>
      <c r="H51" s="33">
        <v>85.86</v>
      </c>
      <c r="I51" s="33">
        <v>260.42</v>
      </c>
      <c r="J51" s="34">
        <f t="shared" si="4"/>
        <v>346.28000000000003</v>
      </c>
      <c r="K51" s="33">
        <v>84.39</v>
      </c>
      <c r="L51" s="33">
        <v>278.31</v>
      </c>
      <c r="M51" s="34">
        <f t="shared" si="5"/>
        <v>362.7</v>
      </c>
      <c r="N51" s="34">
        <f>IF(Premissas!$C$6=2022,G51,IF(Premissas!$C$6=2023,J51,IF(Premissas!$C$6=2024,M51,AVERAGE(G51,J51,M51))))</f>
        <v>362.7</v>
      </c>
      <c r="O51" s="33">
        <v>38.840000000000003</v>
      </c>
    </row>
    <row r="52" spans="1:15" ht="14.25" customHeight="1" x14ac:dyDescent="0.3">
      <c r="A52" s="12" t="s">
        <v>198</v>
      </c>
      <c r="B52" s="16" t="s">
        <v>147</v>
      </c>
      <c r="C52" s="16">
        <v>0</v>
      </c>
      <c r="D52" s="22" t="s">
        <v>148</v>
      </c>
      <c r="E52" s="33">
        <v>121.64</v>
      </c>
      <c r="F52" s="33">
        <v>114.77</v>
      </c>
      <c r="G52" s="34">
        <f t="shared" si="3"/>
        <v>236.41</v>
      </c>
      <c r="H52" s="33">
        <v>117.19</v>
      </c>
      <c r="I52" s="33">
        <v>139.05000000000001</v>
      </c>
      <c r="J52" s="34">
        <f t="shared" si="4"/>
        <v>256.24</v>
      </c>
      <c r="K52" s="33">
        <v>111.05</v>
      </c>
      <c r="L52" s="33">
        <v>136.47999999999999</v>
      </c>
      <c r="M52" s="34">
        <f t="shared" si="5"/>
        <v>247.52999999999997</v>
      </c>
      <c r="N52" s="34">
        <f>IF(Premissas!$C$6=2022,G52,IF(Premissas!$C$6=2023,J52,IF(Premissas!$C$6=2024,M52,AVERAGE(G52,J52,M52))))</f>
        <v>247.52999999999997</v>
      </c>
      <c r="O52" s="33">
        <v>23.46</v>
      </c>
    </row>
    <row r="53" spans="1:15" ht="14.25" customHeight="1" x14ac:dyDescent="0.3">
      <c r="A53" s="12" t="s">
        <v>199</v>
      </c>
      <c r="B53" s="16" t="s">
        <v>147</v>
      </c>
      <c r="C53" s="16">
        <v>0</v>
      </c>
      <c r="D53" s="22" t="s">
        <v>148</v>
      </c>
      <c r="E53" s="33">
        <v>126.25</v>
      </c>
      <c r="F53" s="33">
        <v>223</v>
      </c>
      <c r="G53" s="34">
        <f t="shared" si="3"/>
        <v>349.25</v>
      </c>
      <c r="H53" s="33">
        <v>100.39</v>
      </c>
      <c r="I53" s="33">
        <v>237.56</v>
      </c>
      <c r="J53" s="34">
        <f t="shared" si="4"/>
        <v>337.95</v>
      </c>
      <c r="K53" s="33">
        <v>106.86</v>
      </c>
      <c r="L53" s="33">
        <v>223.96</v>
      </c>
      <c r="M53" s="34">
        <f t="shared" si="5"/>
        <v>330.82</v>
      </c>
      <c r="N53" s="34">
        <f>IF(Premissas!$C$6=2022,G53,IF(Premissas!$C$6=2023,J53,IF(Premissas!$C$6=2024,M53,AVERAGE(G53,J53,M53))))</f>
        <v>330.82</v>
      </c>
      <c r="O53" s="33">
        <v>17.71</v>
      </c>
    </row>
    <row r="54" spans="1:15" ht="14.25" customHeight="1" x14ac:dyDescent="0.3">
      <c r="A54" s="12" t="s">
        <v>200</v>
      </c>
      <c r="B54" s="16" t="s">
        <v>147</v>
      </c>
      <c r="C54" s="16">
        <v>0</v>
      </c>
      <c r="D54" s="22" t="s">
        <v>148</v>
      </c>
      <c r="E54" s="33">
        <v>96.82</v>
      </c>
      <c r="F54" s="33">
        <v>172.55</v>
      </c>
      <c r="G54" s="34">
        <f t="shared" si="3"/>
        <v>269.37</v>
      </c>
      <c r="H54" s="33">
        <v>100.43</v>
      </c>
      <c r="I54" s="33">
        <v>220.31</v>
      </c>
      <c r="J54" s="34">
        <f t="shared" si="4"/>
        <v>320.74</v>
      </c>
      <c r="K54" s="33">
        <v>77.25</v>
      </c>
      <c r="L54" s="33">
        <v>206.39</v>
      </c>
      <c r="M54" s="34">
        <f t="shared" si="5"/>
        <v>283.64</v>
      </c>
      <c r="N54" s="34">
        <f>IF(Premissas!$C$6=2022,G54,IF(Premissas!$C$6=2023,J54,IF(Premissas!$C$6=2024,M54,AVERAGE(G54,J54,M54))))</f>
        <v>283.64</v>
      </c>
      <c r="O54" s="33">
        <v>20.7</v>
      </c>
    </row>
    <row r="55" spans="1:15" ht="14.25" customHeight="1" x14ac:dyDescent="0.3">
      <c r="A55" s="12" t="s">
        <v>201</v>
      </c>
      <c r="B55" s="16" t="s">
        <v>147</v>
      </c>
      <c r="C55" s="16">
        <v>0</v>
      </c>
      <c r="D55" s="22" t="s">
        <v>148</v>
      </c>
      <c r="E55" s="33">
        <v>103.76</v>
      </c>
      <c r="F55" s="33">
        <v>220.93</v>
      </c>
      <c r="G55" s="34">
        <f t="shared" si="3"/>
        <v>324.69</v>
      </c>
      <c r="H55" s="33">
        <v>104.29</v>
      </c>
      <c r="I55" s="33">
        <v>181.42</v>
      </c>
      <c r="J55" s="34">
        <f t="shared" si="4"/>
        <v>285.70999999999998</v>
      </c>
      <c r="K55" s="33">
        <v>108.19</v>
      </c>
      <c r="L55" s="33">
        <v>205.36</v>
      </c>
      <c r="M55" s="34">
        <f t="shared" si="5"/>
        <v>313.55</v>
      </c>
      <c r="N55" s="34">
        <f>IF(Premissas!$C$6=2022,G55,IF(Premissas!$C$6=2023,J55,IF(Premissas!$C$6=2024,M55,AVERAGE(G55,J55,M55))))</f>
        <v>313.55</v>
      </c>
      <c r="O55" s="33">
        <v>7.71</v>
      </c>
    </row>
    <row r="56" spans="1:15" ht="14.25" customHeight="1" x14ac:dyDescent="0.3">
      <c r="A56" s="12" t="s">
        <v>202</v>
      </c>
      <c r="B56" s="16" t="s">
        <v>147</v>
      </c>
      <c r="C56" s="16">
        <v>0</v>
      </c>
      <c r="D56" s="22" t="s">
        <v>148</v>
      </c>
      <c r="E56" s="33">
        <v>91.43</v>
      </c>
      <c r="F56" s="33">
        <v>221.79</v>
      </c>
      <c r="G56" s="34">
        <f t="shared" si="3"/>
        <v>313.22000000000003</v>
      </c>
      <c r="H56" s="33">
        <v>75.430000000000007</v>
      </c>
      <c r="I56" s="33">
        <v>218.14</v>
      </c>
      <c r="J56" s="34">
        <f t="shared" si="4"/>
        <v>293.57</v>
      </c>
      <c r="K56" s="33">
        <v>89.66</v>
      </c>
      <c r="L56" s="33">
        <v>210.15</v>
      </c>
      <c r="M56" s="34">
        <f t="shared" si="5"/>
        <v>299.81</v>
      </c>
      <c r="N56" s="34">
        <f>IF(Premissas!$C$6=2022,G56,IF(Premissas!$C$6=2023,J56,IF(Premissas!$C$6=2024,M56,AVERAGE(G56,J56,M56))))</f>
        <v>299.81</v>
      </c>
      <c r="O56" s="33">
        <v>21.28</v>
      </c>
    </row>
    <row r="57" spans="1:15" ht="14.25" customHeight="1" x14ac:dyDescent="0.3">
      <c r="A57" s="12" t="s">
        <v>203</v>
      </c>
      <c r="B57" s="16" t="s">
        <v>147</v>
      </c>
      <c r="C57" s="16">
        <v>0</v>
      </c>
      <c r="D57" s="22" t="s">
        <v>148</v>
      </c>
      <c r="E57" s="33">
        <v>105.59</v>
      </c>
      <c r="F57" s="33">
        <v>215.09</v>
      </c>
      <c r="G57" s="34">
        <f t="shared" si="3"/>
        <v>320.68</v>
      </c>
      <c r="H57" s="33">
        <v>92.63</v>
      </c>
      <c r="I57" s="33">
        <v>226.69</v>
      </c>
      <c r="J57" s="34">
        <f t="shared" si="4"/>
        <v>319.32</v>
      </c>
      <c r="K57" s="33">
        <v>96.06</v>
      </c>
      <c r="L57" s="33">
        <v>194.33</v>
      </c>
      <c r="M57" s="34">
        <f t="shared" si="5"/>
        <v>290.39</v>
      </c>
      <c r="N57" s="34">
        <f>IF(Premissas!$C$6=2022,G57,IF(Premissas!$C$6=2023,J57,IF(Premissas!$C$6=2024,M57,AVERAGE(G57,J57,M57))))</f>
        <v>290.39</v>
      </c>
      <c r="O57" s="33">
        <v>67.78</v>
      </c>
    </row>
    <row r="58" spans="1:15" ht="14.25" customHeight="1" x14ac:dyDescent="0.3">
      <c r="A58" s="12" t="s">
        <v>204</v>
      </c>
      <c r="B58" s="16" t="s">
        <v>147</v>
      </c>
      <c r="C58" s="16">
        <v>0</v>
      </c>
      <c r="D58" s="22" t="s">
        <v>148</v>
      </c>
      <c r="E58" s="33">
        <v>106.24</v>
      </c>
      <c r="F58" s="33">
        <v>271.18</v>
      </c>
      <c r="G58" s="34">
        <f t="shared" si="3"/>
        <v>377.42</v>
      </c>
      <c r="H58" s="33">
        <v>86.23</v>
      </c>
      <c r="I58" s="33">
        <v>306.73</v>
      </c>
      <c r="J58" s="34">
        <f t="shared" si="4"/>
        <v>392.96000000000004</v>
      </c>
      <c r="K58" s="33">
        <v>96.89</v>
      </c>
      <c r="L58" s="33">
        <v>187.72</v>
      </c>
      <c r="M58" s="34">
        <f t="shared" si="5"/>
        <v>284.61</v>
      </c>
      <c r="N58" s="34">
        <f>IF(Premissas!$C$6=2022,G58,IF(Premissas!$C$6=2023,J58,IF(Premissas!$C$6=2024,M58,AVERAGE(G58,J58,M58))))</f>
        <v>284.61</v>
      </c>
      <c r="O58" s="33">
        <v>39.51</v>
      </c>
    </row>
    <row r="59" spans="1:15" ht="14.25" customHeight="1" x14ac:dyDescent="0.3">
      <c r="A59" s="12" t="s">
        <v>205</v>
      </c>
      <c r="B59" s="16" t="s">
        <v>147</v>
      </c>
      <c r="C59" s="16">
        <v>0</v>
      </c>
      <c r="D59" s="22" t="s">
        <v>148</v>
      </c>
      <c r="E59" s="33">
        <v>111.75</v>
      </c>
      <c r="F59" s="33">
        <v>213.77</v>
      </c>
      <c r="G59" s="34">
        <f t="shared" si="3"/>
        <v>325.52</v>
      </c>
      <c r="H59" s="33">
        <v>114.92</v>
      </c>
      <c r="I59" s="33">
        <v>225.77</v>
      </c>
      <c r="J59" s="34">
        <f t="shared" si="4"/>
        <v>340.69</v>
      </c>
      <c r="K59" s="33">
        <v>111.84</v>
      </c>
      <c r="L59" s="33">
        <v>194.65</v>
      </c>
      <c r="M59" s="34">
        <f t="shared" si="5"/>
        <v>306.49</v>
      </c>
      <c r="N59" s="34">
        <f>IF(Premissas!$C$6=2022,G59,IF(Premissas!$C$6=2023,J59,IF(Premissas!$C$6=2024,M59,AVERAGE(G59,J59,M59))))</f>
        <v>306.49</v>
      </c>
      <c r="O59" s="33">
        <v>32.61</v>
      </c>
    </row>
    <row r="60" spans="1:15" ht="14.25" customHeight="1" x14ac:dyDescent="0.3">
      <c r="A60" s="12" t="s">
        <v>206</v>
      </c>
      <c r="B60" s="16" t="s">
        <v>147</v>
      </c>
      <c r="C60" s="16">
        <v>0</v>
      </c>
      <c r="D60" s="22" t="s">
        <v>148</v>
      </c>
      <c r="E60" s="33">
        <v>98.86</v>
      </c>
      <c r="F60" s="33">
        <v>210.34</v>
      </c>
      <c r="G60" s="34">
        <f t="shared" si="3"/>
        <v>309.2</v>
      </c>
      <c r="H60" s="33">
        <v>102.35</v>
      </c>
      <c r="I60" s="33">
        <v>204.58</v>
      </c>
      <c r="J60" s="34">
        <f t="shared" si="4"/>
        <v>306.93</v>
      </c>
      <c r="K60" s="33">
        <v>84.59</v>
      </c>
      <c r="L60" s="33">
        <v>194.8</v>
      </c>
      <c r="M60" s="34">
        <f t="shared" si="5"/>
        <v>279.39</v>
      </c>
      <c r="N60" s="34">
        <f>IF(Premissas!$C$6=2022,G60,IF(Premissas!$C$6=2023,J60,IF(Premissas!$C$6=2024,M60,AVERAGE(G60,J60,M60))))</f>
        <v>279.39</v>
      </c>
      <c r="O60" s="33">
        <v>31.71</v>
      </c>
    </row>
    <row r="61" spans="1:15" ht="14.25" customHeight="1" x14ac:dyDescent="0.3">
      <c r="A61" s="12" t="s">
        <v>207</v>
      </c>
      <c r="B61" s="16" t="s">
        <v>141</v>
      </c>
      <c r="C61" s="16">
        <v>1</v>
      </c>
      <c r="D61" s="22" t="s">
        <v>145</v>
      </c>
      <c r="E61" s="33">
        <v>110.85</v>
      </c>
      <c r="F61" s="33">
        <v>247.2</v>
      </c>
      <c r="G61" s="34">
        <f t="shared" si="3"/>
        <v>358.04999999999995</v>
      </c>
      <c r="H61" s="33">
        <v>98.56</v>
      </c>
      <c r="I61" s="33">
        <v>287.37</v>
      </c>
      <c r="J61" s="34">
        <f t="shared" si="4"/>
        <v>385.93</v>
      </c>
      <c r="K61" s="33">
        <v>92.75</v>
      </c>
      <c r="L61" s="33">
        <v>275.54000000000002</v>
      </c>
      <c r="M61" s="34">
        <f t="shared" si="5"/>
        <v>368.29</v>
      </c>
      <c r="N61" s="34">
        <f>IF(Premissas!$C$6=2022,G61,IF(Premissas!$C$6=2023,J61,IF(Premissas!$C$6=2024,M61,AVERAGE(G61,J61,M61))))</f>
        <v>368.29</v>
      </c>
      <c r="O61" s="33">
        <v>24.22</v>
      </c>
    </row>
    <row r="62" spans="1:15" ht="14.25" customHeight="1" x14ac:dyDescent="0.3">
      <c r="A62" s="12" t="s">
        <v>208</v>
      </c>
      <c r="B62" s="16" t="s">
        <v>147</v>
      </c>
      <c r="C62" s="16">
        <v>0</v>
      </c>
      <c r="D62" s="22" t="s">
        <v>148</v>
      </c>
      <c r="E62" s="33">
        <v>92.5</v>
      </c>
      <c r="F62" s="33">
        <v>198.18</v>
      </c>
      <c r="G62" s="34">
        <f t="shared" si="3"/>
        <v>290.68</v>
      </c>
      <c r="H62" s="33">
        <v>91.92</v>
      </c>
      <c r="I62" s="33">
        <v>202.8</v>
      </c>
      <c r="J62" s="34">
        <f t="shared" si="4"/>
        <v>294.72000000000003</v>
      </c>
      <c r="K62" s="33">
        <v>109.42</v>
      </c>
      <c r="L62" s="33">
        <v>205.59</v>
      </c>
      <c r="M62" s="34">
        <f t="shared" si="5"/>
        <v>315.01</v>
      </c>
      <c r="N62" s="34">
        <f>IF(Premissas!$C$6=2022,G62,IF(Premissas!$C$6=2023,J62,IF(Premissas!$C$6=2024,M62,AVERAGE(G62,J62,M62))))</f>
        <v>315.01</v>
      </c>
      <c r="O62" s="33">
        <v>31.17</v>
      </c>
    </row>
    <row r="63" spans="1:15" ht="14.25" customHeight="1" x14ac:dyDescent="0.3">
      <c r="A63" s="12" t="s">
        <v>209</v>
      </c>
      <c r="B63" s="16" t="s">
        <v>210</v>
      </c>
      <c r="C63" s="16">
        <v>1</v>
      </c>
      <c r="D63" s="22" t="s">
        <v>145</v>
      </c>
      <c r="E63" s="33">
        <v>71.430000000000007</v>
      </c>
      <c r="F63" s="33">
        <v>268.13</v>
      </c>
      <c r="G63" s="34">
        <f t="shared" si="3"/>
        <v>339.56</v>
      </c>
      <c r="H63" s="33">
        <v>73.73</v>
      </c>
      <c r="I63" s="33">
        <v>277.14</v>
      </c>
      <c r="J63" s="34">
        <f t="shared" si="4"/>
        <v>350.87</v>
      </c>
      <c r="K63" s="33">
        <v>73.02</v>
      </c>
      <c r="L63" s="33">
        <v>315.89</v>
      </c>
      <c r="M63" s="34">
        <f t="shared" si="5"/>
        <v>388.90999999999997</v>
      </c>
      <c r="N63" s="34">
        <f>IF(Premissas!$C$6=2022,G63,IF(Premissas!$C$6=2023,J63,IF(Premissas!$C$6=2024,M63,AVERAGE(G63,J63,M63))))</f>
        <v>388.90999999999997</v>
      </c>
      <c r="O63" s="33">
        <v>31.3</v>
      </c>
    </row>
    <row r="64" spans="1:15" ht="14.25" customHeight="1" x14ac:dyDescent="0.3">
      <c r="A64" s="12" t="s">
        <v>211</v>
      </c>
      <c r="B64" s="16" t="s">
        <v>212</v>
      </c>
      <c r="C64" s="16">
        <v>0</v>
      </c>
      <c r="D64" s="22" t="s">
        <v>142</v>
      </c>
      <c r="E64" s="33">
        <v>105.75</v>
      </c>
      <c r="F64" s="33">
        <v>237.23</v>
      </c>
      <c r="G64" s="34">
        <f t="shared" si="3"/>
        <v>342.98</v>
      </c>
      <c r="H64" s="33">
        <v>115.2</v>
      </c>
      <c r="I64" s="33">
        <v>221.12</v>
      </c>
      <c r="J64" s="34">
        <f t="shared" si="4"/>
        <v>336.32</v>
      </c>
      <c r="K64" s="33">
        <v>104.45</v>
      </c>
      <c r="L64" s="33">
        <v>254.72</v>
      </c>
      <c r="M64" s="34">
        <f t="shared" si="5"/>
        <v>359.17</v>
      </c>
      <c r="N64" s="34">
        <f>IF(Premissas!$C$6=2022,G64,IF(Premissas!$C$6=2023,J64,IF(Premissas!$C$6=2024,M64,AVERAGE(G64,J64,M64))))</f>
        <v>359.17</v>
      </c>
      <c r="O64" s="33">
        <v>27.47</v>
      </c>
    </row>
    <row r="65" spans="1:15" ht="14.25" customHeight="1" x14ac:dyDescent="0.3">
      <c r="A65" s="12" t="s">
        <v>213</v>
      </c>
      <c r="B65" s="16" t="s">
        <v>212</v>
      </c>
      <c r="C65" s="16">
        <v>1</v>
      </c>
      <c r="D65" s="22" t="s">
        <v>145</v>
      </c>
      <c r="E65" s="33">
        <v>111.15</v>
      </c>
      <c r="F65" s="33">
        <v>281.07</v>
      </c>
      <c r="G65" s="34">
        <f t="shared" si="3"/>
        <v>392.22</v>
      </c>
      <c r="H65" s="33">
        <v>110.49</v>
      </c>
      <c r="I65" s="33">
        <v>302.56</v>
      </c>
      <c r="J65" s="34">
        <f t="shared" si="4"/>
        <v>413.05</v>
      </c>
      <c r="K65" s="33">
        <v>101.49</v>
      </c>
      <c r="L65" s="33">
        <v>311.48</v>
      </c>
      <c r="M65" s="34">
        <f t="shared" si="5"/>
        <v>412.97</v>
      </c>
      <c r="N65" s="34">
        <f>IF(Premissas!$C$6=2022,G65,IF(Premissas!$C$6=2023,J65,IF(Premissas!$C$6=2024,M65,AVERAGE(G65,J65,M65))))</f>
        <v>412.97</v>
      </c>
      <c r="O65" s="33">
        <v>18.38</v>
      </c>
    </row>
    <row r="66" spans="1:15" ht="14.25" customHeight="1" x14ac:dyDescent="0.3">
      <c r="A66" s="12" t="s">
        <v>214</v>
      </c>
      <c r="B66" s="16" t="s">
        <v>212</v>
      </c>
      <c r="C66" s="16">
        <v>1</v>
      </c>
      <c r="D66" s="22" t="s">
        <v>145</v>
      </c>
      <c r="E66" s="33">
        <v>122.06</v>
      </c>
      <c r="F66" s="33">
        <v>303.97000000000003</v>
      </c>
      <c r="G66" s="34">
        <f t="shared" si="3"/>
        <v>426.03000000000003</v>
      </c>
      <c r="H66" s="33">
        <v>86.89</v>
      </c>
      <c r="I66" s="33">
        <v>322.83</v>
      </c>
      <c r="J66" s="34">
        <f t="shared" si="4"/>
        <v>409.71999999999997</v>
      </c>
      <c r="K66" s="33">
        <v>95.95</v>
      </c>
      <c r="L66" s="33">
        <v>311.2</v>
      </c>
      <c r="M66" s="34">
        <f t="shared" si="5"/>
        <v>407.15</v>
      </c>
      <c r="N66" s="34">
        <f>IF(Premissas!$C$6=2022,G66,IF(Premissas!$C$6=2023,J66,IF(Premissas!$C$6=2024,M66,AVERAGE(G66,J66,M66))))</f>
        <v>407.15</v>
      </c>
      <c r="O66" s="33">
        <v>12.76</v>
      </c>
    </row>
    <row r="67" spans="1:15" ht="14.25" customHeight="1" x14ac:dyDescent="0.3">
      <c r="A67" s="12" t="s">
        <v>215</v>
      </c>
      <c r="B67" s="16" t="s">
        <v>147</v>
      </c>
      <c r="C67" s="16">
        <v>0</v>
      </c>
      <c r="D67" s="22" t="s">
        <v>148</v>
      </c>
      <c r="E67" s="33">
        <v>116.54</v>
      </c>
      <c r="F67" s="33">
        <v>190.82</v>
      </c>
      <c r="G67" s="34">
        <f t="shared" si="3"/>
        <v>307.36</v>
      </c>
      <c r="H67" s="33">
        <v>108.03</v>
      </c>
      <c r="I67" s="33">
        <v>213.57</v>
      </c>
      <c r="J67" s="34">
        <f t="shared" si="4"/>
        <v>321.60000000000002</v>
      </c>
      <c r="K67" s="33">
        <v>104.09</v>
      </c>
      <c r="L67" s="33">
        <v>222.51</v>
      </c>
      <c r="M67" s="34">
        <f t="shared" si="5"/>
        <v>326.60000000000002</v>
      </c>
      <c r="N67" s="34">
        <f>IF(Premissas!$C$6=2022,G67,IF(Premissas!$C$6=2023,J67,IF(Premissas!$C$6=2024,M67,AVERAGE(G67,J67,M67))))</f>
        <v>326.60000000000002</v>
      </c>
      <c r="O67" s="33">
        <v>36.99</v>
      </c>
    </row>
    <row r="68" spans="1:15" ht="14.25" customHeight="1" x14ac:dyDescent="0.3">
      <c r="A68" s="12" t="s">
        <v>216</v>
      </c>
      <c r="B68" s="16" t="s">
        <v>147</v>
      </c>
      <c r="C68" s="16">
        <v>0</v>
      </c>
      <c r="D68" s="22" t="s">
        <v>148</v>
      </c>
      <c r="E68" s="33">
        <v>99.85</v>
      </c>
      <c r="F68" s="33">
        <v>135.81</v>
      </c>
      <c r="G68" s="34">
        <f t="shared" si="3"/>
        <v>235.66</v>
      </c>
      <c r="H68" s="33">
        <v>96.43</v>
      </c>
      <c r="I68" s="33">
        <v>156.52000000000001</v>
      </c>
      <c r="J68" s="34">
        <f t="shared" si="4"/>
        <v>252.95000000000002</v>
      </c>
      <c r="K68" s="33">
        <v>99.55</v>
      </c>
      <c r="L68" s="33">
        <v>219.3</v>
      </c>
      <c r="M68" s="34">
        <f t="shared" si="5"/>
        <v>318.85000000000002</v>
      </c>
      <c r="N68" s="34">
        <f>IF(Premissas!$C$6=2022,G68,IF(Premissas!$C$6=2023,J68,IF(Premissas!$C$6=2024,M68,AVERAGE(G68,J68,M68))))</f>
        <v>318.85000000000002</v>
      </c>
      <c r="O68" s="33">
        <v>29.59</v>
      </c>
    </row>
    <row r="69" spans="1:15" ht="14.25" customHeight="1" x14ac:dyDescent="0.3">
      <c r="A69" s="12" t="s">
        <v>217</v>
      </c>
      <c r="B69" s="16" t="s">
        <v>147</v>
      </c>
      <c r="C69" s="16">
        <v>0</v>
      </c>
      <c r="D69" s="22" t="s">
        <v>148</v>
      </c>
      <c r="E69" s="33">
        <v>126.25</v>
      </c>
      <c r="F69" s="33">
        <v>232.25</v>
      </c>
      <c r="G69" s="34">
        <f t="shared" ref="G69:G100" si="6">E69+F69</f>
        <v>358.5</v>
      </c>
      <c r="H69" s="33">
        <v>79.05</v>
      </c>
      <c r="I69" s="33">
        <v>280.89</v>
      </c>
      <c r="J69" s="34">
        <f t="shared" ref="J69:J100" si="7">H69+I69</f>
        <v>359.94</v>
      </c>
      <c r="K69" s="33">
        <v>87.84</v>
      </c>
      <c r="L69" s="33">
        <v>322.99</v>
      </c>
      <c r="M69" s="34">
        <f t="shared" ref="M69:M100" si="8">K69+L69</f>
        <v>410.83000000000004</v>
      </c>
      <c r="N69" s="34">
        <f>IF(Premissas!$C$6=2022,G69,IF(Premissas!$C$6=2023,J69,IF(Premissas!$C$6=2024,M69,AVERAGE(G69,J69,M69))))</f>
        <v>410.83000000000004</v>
      </c>
      <c r="O69" s="33">
        <v>17.09</v>
      </c>
    </row>
    <row r="70" spans="1:15" ht="14.25" customHeight="1" x14ac:dyDescent="0.3">
      <c r="A70" s="12" t="s">
        <v>218</v>
      </c>
      <c r="B70" s="16" t="s">
        <v>151</v>
      </c>
      <c r="C70" s="16">
        <v>0</v>
      </c>
      <c r="D70" s="22" t="s">
        <v>142</v>
      </c>
      <c r="E70" s="33">
        <v>116.79</v>
      </c>
      <c r="F70" s="33">
        <v>247.56</v>
      </c>
      <c r="G70" s="34">
        <f t="shared" si="6"/>
        <v>364.35</v>
      </c>
      <c r="H70" s="33">
        <v>94.21</v>
      </c>
      <c r="I70" s="33">
        <v>259.51</v>
      </c>
      <c r="J70" s="34">
        <f t="shared" si="7"/>
        <v>353.71999999999997</v>
      </c>
      <c r="K70" s="33">
        <v>79.489999999999995</v>
      </c>
      <c r="L70" s="33">
        <v>250.09</v>
      </c>
      <c r="M70" s="34">
        <f t="shared" si="8"/>
        <v>329.58</v>
      </c>
      <c r="N70" s="34">
        <f>IF(Premissas!$C$6=2022,G70,IF(Premissas!$C$6=2023,J70,IF(Premissas!$C$6=2024,M70,AVERAGE(G70,J70,M70))))</f>
        <v>329.58</v>
      </c>
      <c r="O70" s="33">
        <v>27.85</v>
      </c>
    </row>
    <row r="71" spans="1:15" ht="14.25" customHeight="1" x14ac:dyDescent="0.3">
      <c r="A71" s="12" t="s">
        <v>219</v>
      </c>
      <c r="B71" s="16" t="s">
        <v>158</v>
      </c>
      <c r="C71" s="16">
        <v>0</v>
      </c>
      <c r="D71" s="22" t="s">
        <v>142</v>
      </c>
      <c r="E71" s="33">
        <v>122.14</v>
      </c>
      <c r="F71" s="33">
        <v>231.69</v>
      </c>
      <c r="G71" s="34">
        <f t="shared" si="6"/>
        <v>353.83</v>
      </c>
      <c r="H71" s="33">
        <v>111.24</v>
      </c>
      <c r="I71" s="33">
        <v>266.47000000000003</v>
      </c>
      <c r="J71" s="34">
        <f t="shared" si="7"/>
        <v>377.71000000000004</v>
      </c>
      <c r="K71" s="33">
        <v>69.45</v>
      </c>
      <c r="L71" s="33">
        <v>235.59</v>
      </c>
      <c r="M71" s="34">
        <f t="shared" si="8"/>
        <v>305.04000000000002</v>
      </c>
      <c r="N71" s="34">
        <f>IF(Premissas!$C$6=2022,G71,IF(Premissas!$C$6=2023,J71,IF(Premissas!$C$6=2024,M71,AVERAGE(G71,J71,M71))))</f>
        <v>305.04000000000002</v>
      </c>
      <c r="O71" s="33">
        <v>16</v>
      </c>
    </row>
    <row r="72" spans="1:15" ht="14.25" customHeight="1" x14ac:dyDescent="0.3">
      <c r="A72" s="12" t="s">
        <v>220</v>
      </c>
      <c r="B72" s="16" t="s">
        <v>221</v>
      </c>
      <c r="C72" s="16">
        <v>1</v>
      </c>
      <c r="D72" s="22" t="s">
        <v>145</v>
      </c>
      <c r="E72" s="33">
        <v>113.43</v>
      </c>
      <c r="F72" s="33">
        <v>218.69</v>
      </c>
      <c r="G72" s="34">
        <f t="shared" si="6"/>
        <v>332.12</v>
      </c>
      <c r="H72" s="33">
        <v>107.54</v>
      </c>
      <c r="I72" s="33">
        <v>276.70999999999998</v>
      </c>
      <c r="J72" s="34">
        <f t="shared" si="7"/>
        <v>384.25</v>
      </c>
      <c r="K72" s="33">
        <v>97.69</v>
      </c>
      <c r="L72" s="33">
        <v>219.19</v>
      </c>
      <c r="M72" s="34">
        <f t="shared" si="8"/>
        <v>316.88</v>
      </c>
      <c r="N72" s="34">
        <f>IF(Premissas!$C$6=2022,G72,IF(Premissas!$C$6=2023,J72,IF(Premissas!$C$6=2024,M72,AVERAGE(G72,J72,M72))))</f>
        <v>316.88</v>
      </c>
      <c r="O72" s="33">
        <v>31.74</v>
      </c>
    </row>
    <row r="73" spans="1:15" ht="14.25" customHeight="1" x14ac:dyDescent="0.3">
      <c r="A73" s="12" t="s">
        <v>222</v>
      </c>
      <c r="B73" s="16" t="s">
        <v>223</v>
      </c>
      <c r="C73" s="16">
        <v>1</v>
      </c>
      <c r="D73" s="22" t="s">
        <v>145</v>
      </c>
      <c r="E73" s="33">
        <v>134.33000000000001</v>
      </c>
      <c r="F73" s="33">
        <v>263.8</v>
      </c>
      <c r="G73" s="34">
        <f t="shared" si="6"/>
        <v>398.13</v>
      </c>
      <c r="H73" s="33">
        <v>121.17</v>
      </c>
      <c r="I73" s="33">
        <v>290.41000000000003</v>
      </c>
      <c r="J73" s="34">
        <f t="shared" si="7"/>
        <v>411.58000000000004</v>
      </c>
      <c r="K73" s="33">
        <v>107.28</v>
      </c>
      <c r="L73" s="33">
        <v>285.33</v>
      </c>
      <c r="M73" s="34">
        <f t="shared" si="8"/>
        <v>392.61</v>
      </c>
      <c r="N73" s="34">
        <f>IF(Premissas!$C$6=2022,G73,IF(Premissas!$C$6=2023,J73,IF(Premissas!$C$6=2024,M73,AVERAGE(G73,J73,M73))))</f>
        <v>392.61</v>
      </c>
      <c r="O73" s="33">
        <v>31.83</v>
      </c>
    </row>
    <row r="74" spans="1:15" ht="14.25" customHeight="1" x14ac:dyDescent="0.3">
      <c r="A74" s="12" t="s">
        <v>224</v>
      </c>
      <c r="B74" s="16" t="s">
        <v>212</v>
      </c>
      <c r="C74" s="16">
        <v>1</v>
      </c>
      <c r="D74" s="22" t="s">
        <v>145</v>
      </c>
      <c r="E74" s="33">
        <v>117.97</v>
      </c>
      <c r="F74" s="33">
        <v>263.95</v>
      </c>
      <c r="G74" s="34">
        <f t="shared" si="6"/>
        <v>381.91999999999996</v>
      </c>
      <c r="H74" s="33">
        <v>101.8</v>
      </c>
      <c r="I74" s="33">
        <v>285.08</v>
      </c>
      <c r="J74" s="34">
        <f t="shared" si="7"/>
        <v>386.88</v>
      </c>
      <c r="K74" s="33">
        <v>98.99</v>
      </c>
      <c r="L74" s="33">
        <v>265.77</v>
      </c>
      <c r="M74" s="34">
        <f t="shared" si="8"/>
        <v>364.76</v>
      </c>
      <c r="N74" s="34">
        <f>IF(Premissas!$C$6=2022,G74,IF(Premissas!$C$6=2023,J74,IF(Premissas!$C$6=2024,M74,AVERAGE(G74,J74,M74))))</f>
        <v>364.76</v>
      </c>
      <c r="O74" s="33">
        <v>12.17</v>
      </c>
    </row>
    <row r="75" spans="1:15" ht="14.25" customHeight="1" x14ac:dyDescent="0.3">
      <c r="A75" s="12" t="s">
        <v>225</v>
      </c>
      <c r="B75" s="16" t="s">
        <v>155</v>
      </c>
      <c r="C75" s="16">
        <v>0</v>
      </c>
      <c r="D75" s="22" t="s">
        <v>142</v>
      </c>
      <c r="E75" s="33">
        <v>126.25</v>
      </c>
      <c r="F75" s="33">
        <v>250.04</v>
      </c>
      <c r="G75" s="34">
        <f t="shared" si="6"/>
        <v>376.28999999999996</v>
      </c>
      <c r="H75" s="33">
        <v>68.52</v>
      </c>
      <c r="I75" s="33">
        <v>284.75</v>
      </c>
      <c r="J75" s="34">
        <f t="shared" si="7"/>
        <v>353.27</v>
      </c>
      <c r="K75" s="33">
        <v>106.86</v>
      </c>
      <c r="L75" s="33">
        <v>286.47000000000003</v>
      </c>
      <c r="M75" s="34">
        <f t="shared" si="8"/>
        <v>393.33000000000004</v>
      </c>
      <c r="N75" s="34">
        <f>IF(Premissas!$C$6=2022,G75,IF(Premissas!$C$6=2023,J75,IF(Premissas!$C$6=2024,M75,AVERAGE(G75,J75,M75))))</f>
        <v>393.33000000000004</v>
      </c>
      <c r="O75" s="33">
        <v>17.71</v>
      </c>
    </row>
    <row r="76" spans="1:15" ht="14.25" customHeight="1" x14ac:dyDescent="0.3">
      <c r="A76" s="12" t="s">
        <v>226</v>
      </c>
      <c r="B76" s="16" t="s">
        <v>155</v>
      </c>
      <c r="C76" s="16">
        <v>0</v>
      </c>
      <c r="D76" s="22" t="s">
        <v>142</v>
      </c>
      <c r="E76" s="33">
        <v>126.25</v>
      </c>
      <c r="F76" s="33">
        <v>250.04</v>
      </c>
      <c r="G76" s="34">
        <f t="shared" si="6"/>
        <v>376.28999999999996</v>
      </c>
      <c r="H76" s="33">
        <v>100.39</v>
      </c>
      <c r="I76" s="33">
        <v>277.93</v>
      </c>
      <c r="J76" s="34">
        <f t="shared" si="7"/>
        <v>378.32</v>
      </c>
      <c r="K76" s="33">
        <v>74.28</v>
      </c>
      <c r="L76" s="33">
        <v>147.08000000000001</v>
      </c>
      <c r="M76" s="34">
        <f t="shared" si="8"/>
        <v>221.36</v>
      </c>
      <c r="N76" s="34">
        <f>IF(Premissas!$C$6=2022,G76,IF(Premissas!$C$6=2023,J76,IF(Premissas!$C$6=2024,M76,AVERAGE(G76,J76,M76))))</f>
        <v>221.36</v>
      </c>
      <c r="O76" s="33">
        <v>22.21</v>
      </c>
    </row>
    <row r="77" spans="1:15" ht="14.25" customHeight="1" x14ac:dyDescent="0.3">
      <c r="A77" s="12" t="s">
        <v>227</v>
      </c>
      <c r="B77" s="16" t="s">
        <v>212</v>
      </c>
      <c r="C77" s="16">
        <v>1</v>
      </c>
      <c r="D77" s="22" t="s">
        <v>145</v>
      </c>
      <c r="E77" s="33">
        <v>132.06</v>
      </c>
      <c r="F77" s="33">
        <v>253.87</v>
      </c>
      <c r="G77" s="34">
        <f t="shared" si="6"/>
        <v>385.93</v>
      </c>
      <c r="H77" s="33">
        <v>113.31</v>
      </c>
      <c r="I77" s="33">
        <v>294.99</v>
      </c>
      <c r="J77" s="34">
        <f t="shared" si="7"/>
        <v>408.3</v>
      </c>
      <c r="K77" s="33">
        <v>97.64</v>
      </c>
      <c r="L77" s="33">
        <v>286.93</v>
      </c>
      <c r="M77" s="34">
        <f t="shared" si="8"/>
        <v>384.57</v>
      </c>
      <c r="N77" s="34">
        <f>IF(Premissas!$C$6=2022,G77,IF(Premissas!$C$6=2023,J77,IF(Premissas!$C$6=2024,M77,AVERAGE(G77,J77,M77))))</f>
        <v>384.57</v>
      </c>
      <c r="O77" s="33">
        <v>29.07</v>
      </c>
    </row>
    <row r="78" spans="1:15" ht="14.25" customHeight="1" x14ac:dyDescent="0.3">
      <c r="A78" s="12" t="s">
        <v>228</v>
      </c>
      <c r="B78" s="16" t="s">
        <v>151</v>
      </c>
      <c r="C78" s="16">
        <v>0</v>
      </c>
      <c r="D78" s="22" t="s">
        <v>142</v>
      </c>
      <c r="E78" s="33">
        <v>100.24</v>
      </c>
      <c r="F78" s="33">
        <v>219.4</v>
      </c>
      <c r="G78" s="34">
        <f t="shared" si="6"/>
        <v>319.64</v>
      </c>
      <c r="H78" s="33">
        <v>89.15</v>
      </c>
      <c r="I78" s="33">
        <v>241.82</v>
      </c>
      <c r="J78" s="34">
        <f t="shared" si="7"/>
        <v>330.97</v>
      </c>
      <c r="K78" s="33">
        <v>69.989999999999995</v>
      </c>
      <c r="L78" s="33">
        <v>226.06</v>
      </c>
      <c r="M78" s="34">
        <f t="shared" si="8"/>
        <v>296.05</v>
      </c>
      <c r="N78" s="34">
        <f>IF(Premissas!$C$6=2022,G78,IF(Premissas!$C$6=2023,J78,IF(Premissas!$C$6=2024,M78,AVERAGE(G78,J78,M78))))</f>
        <v>296.05</v>
      </c>
      <c r="O78" s="33">
        <v>14.79</v>
      </c>
    </row>
    <row r="79" spans="1:15" ht="14.25" customHeight="1" x14ac:dyDescent="0.3">
      <c r="A79" s="12" t="s">
        <v>229</v>
      </c>
      <c r="B79" s="16" t="s">
        <v>212</v>
      </c>
      <c r="C79" s="16">
        <v>1</v>
      </c>
      <c r="D79" s="22" t="s">
        <v>145</v>
      </c>
      <c r="E79" s="33">
        <v>111.19</v>
      </c>
      <c r="F79" s="33">
        <v>248.5</v>
      </c>
      <c r="G79" s="34">
        <f t="shared" si="6"/>
        <v>359.69</v>
      </c>
      <c r="H79" s="33">
        <v>90.01</v>
      </c>
      <c r="I79" s="33">
        <v>268.25</v>
      </c>
      <c r="J79" s="34">
        <f t="shared" si="7"/>
        <v>358.26</v>
      </c>
      <c r="K79" s="33">
        <v>91.84</v>
      </c>
      <c r="L79" s="33">
        <v>250.18</v>
      </c>
      <c r="M79" s="34">
        <f t="shared" si="8"/>
        <v>342.02</v>
      </c>
      <c r="N79" s="34">
        <f>IF(Premissas!$C$6=2022,G79,IF(Premissas!$C$6=2023,J79,IF(Premissas!$C$6=2024,M79,AVERAGE(G79,J79,M79))))</f>
        <v>342.02</v>
      </c>
      <c r="O79" s="33">
        <v>17.05</v>
      </c>
    </row>
    <row r="80" spans="1:15" ht="14.25" customHeight="1" x14ac:dyDescent="0.3">
      <c r="A80" s="12" t="s">
        <v>230</v>
      </c>
      <c r="B80" s="16" t="s">
        <v>223</v>
      </c>
      <c r="C80" s="16">
        <v>0</v>
      </c>
      <c r="D80" s="22" t="s">
        <v>142</v>
      </c>
      <c r="E80" s="33">
        <v>147.99</v>
      </c>
      <c r="F80" s="33">
        <v>304.87</v>
      </c>
      <c r="G80" s="34">
        <f t="shared" si="6"/>
        <v>452.86</v>
      </c>
      <c r="H80" s="33">
        <v>86.11</v>
      </c>
      <c r="I80" s="33">
        <v>290.48</v>
      </c>
      <c r="J80" s="34">
        <f t="shared" si="7"/>
        <v>376.59000000000003</v>
      </c>
      <c r="K80" s="33">
        <v>85.88</v>
      </c>
      <c r="L80" s="33">
        <v>265.91000000000003</v>
      </c>
      <c r="M80" s="34">
        <f t="shared" si="8"/>
        <v>351.79</v>
      </c>
      <c r="N80" s="34">
        <f>IF(Premissas!$C$6=2022,G80,IF(Premissas!$C$6=2023,J80,IF(Premissas!$C$6=2024,M80,AVERAGE(G80,J80,M80))))</f>
        <v>351.79</v>
      </c>
      <c r="O80" s="33">
        <v>17.89</v>
      </c>
    </row>
    <row r="81" spans="1:15" ht="14.25" customHeight="1" x14ac:dyDescent="0.3">
      <c r="A81" s="12" t="s">
        <v>231</v>
      </c>
      <c r="B81" s="16" t="s">
        <v>158</v>
      </c>
      <c r="C81" s="16">
        <v>0</v>
      </c>
      <c r="D81" s="22" t="s">
        <v>142</v>
      </c>
      <c r="E81" s="33">
        <v>137.44</v>
      </c>
      <c r="F81" s="33">
        <v>313.23</v>
      </c>
      <c r="G81" s="34">
        <f t="shared" si="6"/>
        <v>450.67</v>
      </c>
      <c r="H81" s="33">
        <v>110.19</v>
      </c>
      <c r="I81" s="33">
        <v>350.23</v>
      </c>
      <c r="J81" s="34">
        <f t="shared" si="7"/>
        <v>460.42</v>
      </c>
      <c r="K81" s="33">
        <v>103.58</v>
      </c>
      <c r="L81" s="33">
        <v>326.81</v>
      </c>
      <c r="M81" s="34">
        <f t="shared" si="8"/>
        <v>430.39</v>
      </c>
      <c r="N81" s="34">
        <f>IF(Premissas!$C$6=2022,G81,IF(Premissas!$C$6=2023,J81,IF(Premissas!$C$6=2024,M81,AVERAGE(G81,J81,M81))))</f>
        <v>430.39</v>
      </c>
      <c r="O81" s="33">
        <v>34.57</v>
      </c>
    </row>
    <row r="82" spans="1:15" ht="14.25" customHeight="1" x14ac:dyDescent="0.3">
      <c r="A82" s="12" t="s">
        <v>232</v>
      </c>
      <c r="B82" s="16" t="s">
        <v>233</v>
      </c>
      <c r="C82" s="16">
        <v>1</v>
      </c>
      <c r="D82" s="22" t="s">
        <v>145</v>
      </c>
      <c r="E82" s="33">
        <v>117.13</v>
      </c>
      <c r="F82" s="33">
        <v>260.02</v>
      </c>
      <c r="G82" s="34">
        <f t="shared" si="6"/>
        <v>377.15</v>
      </c>
      <c r="H82" s="33">
        <v>132.83000000000001</v>
      </c>
      <c r="I82" s="33">
        <v>304.39999999999998</v>
      </c>
      <c r="J82" s="34">
        <f t="shared" si="7"/>
        <v>437.23</v>
      </c>
      <c r="K82" s="33">
        <v>107.59</v>
      </c>
      <c r="L82" s="33">
        <v>314.51</v>
      </c>
      <c r="M82" s="34">
        <f t="shared" si="8"/>
        <v>422.1</v>
      </c>
      <c r="N82" s="34">
        <f>IF(Premissas!$C$6=2022,G82,IF(Premissas!$C$6=2023,J82,IF(Premissas!$C$6=2024,M82,AVERAGE(G82,J82,M82))))</f>
        <v>422.1</v>
      </c>
      <c r="O82" s="33">
        <v>34.28</v>
      </c>
    </row>
    <row r="83" spans="1:15" ht="14.25" customHeight="1" x14ac:dyDescent="0.3">
      <c r="A83" s="12" t="s">
        <v>234</v>
      </c>
      <c r="B83" s="16" t="s">
        <v>235</v>
      </c>
      <c r="C83" s="16">
        <v>1</v>
      </c>
      <c r="D83" s="22" t="s">
        <v>145</v>
      </c>
      <c r="E83" s="33">
        <v>126.62</v>
      </c>
      <c r="F83" s="33">
        <v>255.74</v>
      </c>
      <c r="G83" s="34">
        <f t="shared" si="6"/>
        <v>382.36</v>
      </c>
      <c r="H83" s="33">
        <v>126.64</v>
      </c>
      <c r="I83" s="33">
        <v>335.66</v>
      </c>
      <c r="J83" s="34">
        <f t="shared" si="7"/>
        <v>462.3</v>
      </c>
      <c r="K83" s="33">
        <v>106.62</v>
      </c>
      <c r="L83" s="33">
        <v>341.16</v>
      </c>
      <c r="M83" s="34">
        <f t="shared" si="8"/>
        <v>447.78000000000003</v>
      </c>
      <c r="N83" s="34">
        <f>IF(Premissas!$C$6=2022,G83,IF(Premissas!$C$6=2023,J83,IF(Premissas!$C$6=2024,M83,AVERAGE(G83,J83,M83))))</f>
        <v>447.78000000000003</v>
      </c>
      <c r="O83" s="33">
        <v>30.46</v>
      </c>
    </row>
    <row r="84" spans="1:15" ht="14.25" customHeight="1" x14ac:dyDescent="0.3">
      <c r="A84" s="12" t="s">
        <v>236</v>
      </c>
      <c r="B84" s="16" t="s">
        <v>237</v>
      </c>
      <c r="C84" s="16">
        <v>1</v>
      </c>
      <c r="D84" s="22" t="s">
        <v>145</v>
      </c>
      <c r="E84" s="33">
        <v>77.86</v>
      </c>
      <c r="F84" s="33">
        <v>281.29000000000002</v>
      </c>
      <c r="G84" s="34">
        <f t="shared" si="6"/>
        <v>359.15000000000003</v>
      </c>
      <c r="H84" s="33">
        <v>85.69</v>
      </c>
      <c r="I84" s="33">
        <v>283.38</v>
      </c>
      <c r="J84" s="34">
        <f t="shared" si="7"/>
        <v>369.07</v>
      </c>
      <c r="K84" s="33">
        <v>81.3</v>
      </c>
      <c r="L84" s="33">
        <v>259.69</v>
      </c>
      <c r="M84" s="34">
        <f t="shared" si="8"/>
        <v>340.99</v>
      </c>
      <c r="N84" s="34">
        <f>IF(Premissas!$C$6=2022,G84,IF(Premissas!$C$6=2023,J84,IF(Premissas!$C$6=2024,M84,AVERAGE(G84,J84,M84))))</f>
        <v>340.99</v>
      </c>
      <c r="O84" s="33">
        <v>22.65</v>
      </c>
    </row>
    <row r="85" spans="1:15" ht="14.25" customHeight="1" x14ac:dyDescent="0.3">
      <c r="A85" s="12" t="s">
        <v>238</v>
      </c>
      <c r="B85" s="16" t="s">
        <v>239</v>
      </c>
      <c r="C85" s="16">
        <v>1</v>
      </c>
      <c r="D85" s="22" t="s">
        <v>145</v>
      </c>
      <c r="E85" s="33">
        <v>160.63</v>
      </c>
      <c r="F85" s="33">
        <v>291.45</v>
      </c>
      <c r="G85" s="34">
        <f t="shared" si="6"/>
        <v>452.08</v>
      </c>
      <c r="H85" s="33">
        <v>157.82</v>
      </c>
      <c r="I85" s="33">
        <v>285.48</v>
      </c>
      <c r="J85" s="34">
        <f t="shared" si="7"/>
        <v>443.3</v>
      </c>
      <c r="K85" s="33">
        <v>153.49</v>
      </c>
      <c r="L85" s="33">
        <v>279.49</v>
      </c>
      <c r="M85" s="34">
        <f t="shared" si="8"/>
        <v>432.98</v>
      </c>
      <c r="N85" s="34">
        <f>IF(Premissas!$C$6=2022,G85,IF(Premissas!$C$6=2023,J85,IF(Premissas!$C$6=2024,M85,AVERAGE(G85,J85,M85))))</f>
        <v>432.98</v>
      </c>
      <c r="O85" s="33">
        <v>38.340000000000003</v>
      </c>
    </row>
    <row r="86" spans="1:15" ht="14.25" customHeight="1" x14ac:dyDescent="0.3">
      <c r="A86" s="12" t="s">
        <v>240</v>
      </c>
      <c r="B86" s="16" t="s">
        <v>241</v>
      </c>
      <c r="C86" s="16">
        <v>1</v>
      </c>
      <c r="D86" s="22" t="s">
        <v>145</v>
      </c>
      <c r="E86" s="33">
        <v>77.88</v>
      </c>
      <c r="F86" s="33">
        <v>231.76</v>
      </c>
      <c r="G86" s="34">
        <f t="shared" si="6"/>
        <v>309.64</v>
      </c>
      <c r="H86" s="33">
        <v>69.48</v>
      </c>
      <c r="I86" s="33">
        <v>224.13</v>
      </c>
      <c r="J86" s="34">
        <f t="shared" si="7"/>
        <v>293.61</v>
      </c>
      <c r="K86" s="33">
        <v>69.02</v>
      </c>
      <c r="L86" s="33">
        <v>217.53</v>
      </c>
      <c r="M86" s="34">
        <f t="shared" si="8"/>
        <v>286.55</v>
      </c>
      <c r="N86" s="34">
        <f>IF(Premissas!$C$6=2022,G86,IF(Premissas!$C$6=2023,J86,IF(Premissas!$C$6=2024,M86,AVERAGE(G86,J86,M86))))</f>
        <v>286.55</v>
      </c>
      <c r="O86" s="33">
        <v>24.72</v>
      </c>
    </row>
    <row r="87" spans="1:15" ht="14.25" customHeight="1" x14ac:dyDescent="0.3">
      <c r="A87" s="12" t="s">
        <v>242</v>
      </c>
      <c r="B87" s="16" t="s">
        <v>243</v>
      </c>
      <c r="C87" s="16">
        <v>1</v>
      </c>
      <c r="D87" s="22" t="s">
        <v>145</v>
      </c>
      <c r="E87" s="33">
        <v>117.59</v>
      </c>
      <c r="F87" s="33">
        <v>271.14</v>
      </c>
      <c r="G87" s="34">
        <f t="shared" si="6"/>
        <v>388.73</v>
      </c>
      <c r="H87" s="33">
        <v>143.43</v>
      </c>
      <c r="I87" s="33">
        <v>290.68</v>
      </c>
      <c r="J87" s="34">
        <f t="shared" si="7"/>
        <v>434.11</v>
      </c>
      <c r="K87" s="33">
        <v>128.33000000000001</v>
      </c>
      <c r="L87" s="33">
        <v>292.13</v>
      </c>
      <c r="M87" s="34">
        <f t="shared" si="8"/>
        <v>420.46000000000004</v>
      </c>
      <c r="N87" s="34">
        <f>IF(Premissas!$C$6=2022,G87,IF(Premissas!$C$6=2023,J87,IF(Premissas!$C$6=2024,M87,AVERAGE(G87,J87,M87))))</f>
        <v>420.46000000000004</v>
      </c>
      <c r="O87" s="33">
        <v>27.48</v>
      </c>
    </row>
    <row r="88" spans="1:15" ht="14.25" customHeight="1" x14ac:dyDescent="0.3">
      <c r="A88" s="12" t="s">
        <v>244</v>
      </c>
      <c r="B88" s="16" t="s">
        <v>193</v>
      </c>
      <c r="C88" s="16">
        <v>1</v>
      </c>
      <c r="D88" s="22" t="s">
        <v>145</v>
      </c>
      <c r="E88" s="33">
        <v>139.33000000000001</v>
      </c>
      <c r="F88" s="33">
        <v>272.82</v>
      </c>
      <c r="G88" s="34">
        <f t="shared" si="6"/>
        <v>412.15</v>
      </c>
      <c r="H88" s="33">
        <v>97.83</v>
      </c>
      <c r="I88" s="33">
        <v>268.5</v>
      </c>
      <c r="J88" s="34">
        <f t="shared" si="7"/>
        <v>366.33</v>
      </c>
      <c r="K88" s="33">
        <v>97.89</v>
      </c>
      <c r="L88" s="33">
        <v>256.33999999999997</v>
      </c>
      <c r="M88" s="34">
        <f t="shared" si="8"/>
        <v>354.22999999999996</v>
      </c>
      <c r="N88" s="34">
        <f>IF(Premissas!$C$6=2022,G88,IF(Premissas!$C$6=2023,J88,IF(Premissas!$C$6=2024,M88,AVERAGE(G88,J88,M88))))</f>
        <v>354.22999999999996</v>
      </c>
      <c r="O88" s="33">
        <v>27.09</v>
      </c>
    </row>
    <row r="89" spans="1:15" ht="14.25" customHeight="1" x14ac:dyDescent="0.3">
      <c r="A89" s="12" t="s">
        <v>245</v>
      </c>
      <c r="B89" s="16" t="s">
        <v>246</v>
      </c>
      <c r="C89" s="16">
        <v>1</v>
      </c>
      <c r="D89" s="22" t="s">
        <v>145</v>
      </c>
      <c r="E89" s="33">
        <v>82.36</v>
      </c>
      <c r="F89" s="33">
        <v>230.82</v>
      </c>
      <c r="G89" s="34">
        <f t="shared" si="6"/>
        <v>313.18</v>
      </c>
      <c r="H89" s="33">
        <v>80.98</v>
      </c>
      <c r="I89" s="33">
        <v>248.09</v>
      </c>
      <c r="J89" s="34">
        <f t="shared" si="7"/>
        <v>329.07</v>
      </c>
      <c r="K89" s="33">
        <v>79.69</v>
      </c>
      <c r="L89" s="33">
        <v>236.04</v>
      </c>
      <c r="M89" s="34">
        <f t="shared" si="8"/>
        <v>315.73</v>
      </c>
      <c r="N89" s="34">
        <f>IF(Premissas!$C$6=2022,G89,IF(Premissas!$C$6=2023,J89,IF(Premissas!$C$6=2024,M89,AVERAGE(G89,J89,M89))))</f>
        <v>315.73</v>
      </c>
      <c r="O89" s="33">
        <v>28.45</v>
      </c>
    </row>
    <row r="90" spans="1:15" ht="14.25" customHeight="1" x14ac:dyDescent="0.3">
      <c r="A90" s="12" t="s">
        <v>247</v>
      </c>
      <c r="B90" s="16" t="s">
        <v>248</v>
      </c>
      <c r="C90" s="16">
        <v>1</v>
      </c>
      <c r="D90" s="22" t="s">
        <v>145</v>
      </c>
      <c r="E90" s="33">
        <v>114.95</v>
      </c>
      <c r="F90" s="33">
        <v>211.59</v>
      </c>
      <c r="G90" s="34">
        <f t="shared" si="6"/>
        <v>326.54000000000002</v>
      </c>
      <c r="H90" s="33">
        <v>132.22999999999999</v>
      </c>
      <c r="I90" s="33">
        <v>290.06</v>
      </c>
      <c r="J90" s="34">
        <f t="shared" si="7"/>
        <v>422.28999999999996</v>
      </c>
      <c r="K90" s="33">
        <v>120.64</v>
      </c>
      <c r="L90" s="33">
        <v>276.89</v>
      </c>
      <c r="M90" s="34">
        <f t="shared" si="8"/>
        <v>397.53</v>
      </c>
      <c r="N90" s="34">
        <f>IF(Premissas!$C$6=2022,G90,IF(Premissas!$C$6=2023,J90,IF(Premissas!$C$6=2024,M90,AVERAGE(G90,J90,M90))))</f>
        <v>397.53</v>
      </c>
      <c r="O90" s="33">
        <v>47.53</v>
      </c>
    </row>
    <row r="91" spans="1:15" ht="14.25" customHeight="1" x14ac:dyDescent="0.3">
      <c r="A91" s="12" t="s">
        <v>249</v>
      </c>
      <c r="B91" s="16" t="s">
        <v>250</v>
      </c>
      <c r="C91" s="16">
        <v>1</v>
      </c>
      <c r="D91" s="22" t="s">
        <v>145</v>
      </c>
      <c r="E91" s="33">
        <v>121.87</v>
      </c>
      <c r="F91" s="33">
        <v>236.71</v>
      </c>
      <c r="G91" s="34">
        <f t="shared" si="6"/>
        <v>358.58000000000004</v>
      </c>
      <c r="H91" s="33">
        <v>108.31</v>
      </c>
      <c r="I91" s="33">
        <v>271.04000000000002</v>
      </c>
      <c r="J91" s="34">
        <f t="shared" si="7"/>
        <v>379.35</v>
      </c>
      <c r="K91" s="33">
        <v>101.36</v>
      </c>
      <c r="L91" s="33">
        <v>232.45</v>
      </c>
      <c r="M91" s="34">
        <f t="shared" si="8"/>
        <v>333.81</v>
      </c>
      <c r="N91" s="34">
        <f>IF(Premissas!$C$6=2022,G91,IF(Premissas!$C$6=2023,J91,IF(Premissas!$C$6=2024,M91,AVERAGE(G91,J91,M91))))</f>
        <v>333.81</v>
      </c>
      <c r="O91" s="33">
        <v>31.72</v>
      </c>
    </row>
    <row r="92" spans="1:15" ht="14.25" customHeight="1" x14ac:dyDescent="0.3">
      <c r="A92" s="12" t="s">
        <v>251</v>
      </c>
      <c r="B92" s="16" t="s">
        <v>252</v>
      </c>
      <c r="C92" s="16">
        <v>1</v>
      </c>
      <c r="D92" s="22" t="s">
        <v>145</v>
      </c>
      <c r="E92" s="33">
        <v>111.31</v>
      </c>
      <c r="F92" s="33">
        <v>223.55</v>
      </c>
      <c r="G92" s="34">
        <f t="shared" si="6"/>
        <v>334.86</v>
      </c>
      <c r="H92" s="33">
        <v>97.16</v>
      </c>
      <c r="I92" s="33">
        <v>228.94</v>
      </c>
      <c r="J92" s="34">
        <f t="shared" si="7"/>
        <v>326.10000000000002</v>
      </c>
      <c r="K92" s="33">
        <v>100.17</v>
      </c>
      <c r="L92" s="33">
        <v>225.44</v>
      </c>
      <c r="M92" s="34">
        <f t="shared" si="8"/>
        <v>325.61</v>
      </c>
      <c r="N92" s="34">
        <f>IF(Premissas!$C$6=2022,G92,IF(Premissas!$C$6=2023,J92,IF(Premissas!$C$6=2024,M92,AVERAGE(G92,J92,M92))))</f>
        <v>325.61</v>
      </c>
      <c r="O92" s="33">
        <v>31.24</v>
      </c>
    </row>
    <row r="93" spans="1:15" ht="14.25" customHeight="1" x14ac:dyDescent="0.3">
      <c r="A93" s="12" t="s">
        <v>253</v>
      </c>
      <c r="B93" s="16" t="s">
        <v>254</v>
      </c>
      <c r="C93" s="16">
        <v>1</v>
      </c>
      <c r="D93" s="22" t="s">
        <v>145</v>
      </c>
      <c r="E93" s="33">
        <v>65.010000000000005</v>
      </c>
      <c r="F93" s="33">
        <v>223.15</v>
      </c>
      <c r="G93" s="34">
        <f t="shared" si="6"/>
        <v>288.16000000000003</v>
      </c>
      <c r="H93" s="33">
        <v>70.09</v>
      </c>
      <c r="I93" s="33">
        <v>248.11</v>
      </c>
      <c r="J93" s="34">
        <f t="shared" si="7"/>
        <v>318.20000000000005</v>
      </c>
      <c r="K93" s="33">
        <v>63.81</v>
      </c>
      <c r="L93" s="33">
        <v>263.18</v>
      </c>
      <c r="M93" s="34">
        <f t="shared" si="8"/>
        <v>326.99</v>
      </c>
      <c r="N93" s="34">
        <f>IF(Premissas!$C$6=2022,G93,IF(Premissas!$C$6=2023,J93,IF(Premissas!$C$6=2024,M93,AVERAGE(G93,J93,M93))))</f>
        <v>326.99</v>
      </c>
      <c r="O93" s="33">
        <v>22.8</v>
      </c>
    </row>
    <row r="94" spans="1:15" ht="14.25" customHeight="1" x14ac:dyDescent="0.3">
      <c r="A94" s="12" t="s">
        <v>255</v>
      </c>
      <c r="B94" s="16" t="s">
        <v>212</v>
      </c>
      <c r="C94" s="16">
        <v>0</v>
      </c>
      <c r="D94" s="22" t="s">
        <v>142</v>
      </c>
      <c r="E94" s="33">
        <v>121.74</v>
      </c>
      <c r="F94" s="33">
        <v>255.26</v>
      </c>
      <c r="G94" s="34">
        <f t="shared" si="6"/>
        <v>377</v>
      </c>
      <c r="H94" s="33">
        <v>101.36</v>
      </c>
      <c r="I94" s="33">
        <v>309.87</v>
      </c>
      <c r="J94" s="34">
        <f t="shared" si="7"/>
        <v>411.23</v>
      </c>
      <c r="K94" s="33">
        <v>85.92</v>
      </c>
      <c r="L94" s="33">
        <v>262.25</v>
      </c>
      <c r="M94" s="34">
        <f t="shared" si="8"/>
        <v>348.17</v>
      </c>
      <c r="N94" s="34">
        <f>IF(Premissas!$C$6=2022,G94,IF(Premissas!$C$6=2023,J94,IF(Premissas!$C$6=2024,M94,AVERAGE(G94,J94,M94))))</f>
        <v>348.17</v>
      </c>
      <c r="O94" s="33">
        <v>22.85</v>
      </c>
    </row>
    <row r="95" spans="1:15" ht="14.25" customHeight="1" x14ac:dyDescent="0.3">
      <c r="A95" s="12" t="s">
        <v>256</v>
      </c>
      <c r="B95" s="16" t="s">
        <v>257</v>
      </c>
      <c r="C95" s="16">
        <v>1</v>
      </c>
      <c r="D95" s="22" t="s">
        <v>145</v>
      </c>
      <c r="E95" s="33">
        <v>80.319999999999993</v>
      </c>
      <c r="F95" s="33">
        <v>258.24</v>
      </c>
      <c r="G95" s="34">
        <f t="shared" si="6"/>
        <v>338.56</v>
      </c>
      <c r="H95" s="33">
        <v>69.69</v>
      </c>
      <c r="I95" s="33">
        <v>239.69</v>
      </c>
      <c r="J95" s="34">
        <f t="shared" si="7"/>
        <v>309.38</v>
      </c>
      <c r="K95" s="33">
        <v>74.290000000000006</v>
      </c>
      <c r="L95" s="33">
        <v>250.86</v>
      </c>
      <c r="M95" s="34">
        <f t="shared" si="8"/>
        <v>325.15000000000003</v>
      </c>
      <c r="N95" s="34">
        <f>IF(Premissas!$C$6=2022,G95,IF(Premissas!$C$6=2023,J95,IF(Premissas!$C$6=2024,M95,AVERAGE(G95,J95,M95))))</f>
        <v>325.15000000000003</v>
      </c>
      <c r="O95" s="33">
        <v>46.35</v>
      </c>
    </row>
    <row r="96" spans="1:15" ht="14.25" customHeight="1" x14ac:dyDescent="0.3">
      <c r="A96" s="12" t="s">
        <v>258</v>
      </c>
      <c r="B96" s="16" t="s">
        <v>147</v>
      </c>
      <c r="C96" s="16">
        <v>0</v>
      </c>
      <c r="D96" s="22" t="s">
        <v>148</v>
      </c>
      <c r="E96" s="33">
        <v>95.82</v>
      </c>
      <c r="F96" s="33">
        <v>235.34</v>
      </c>
      <c r="G96" s="34">
        <f t="shared" si="6"/>
        <v>331.15999999999997</v>
      </c>
      <c r="H96" s="33">
        <v>77.27</v>
      </c>
      <c r="I96" s="33">
        <v>274.33</v>
      </c>
      <c r="J96" s="34">
        <f t="shared" si="7"/>
        <v>351.59999999999997</v>
      </c>
      <c r="K96" s="33">
        <v>76.680000000000007</v>
      </c>
      <c r="L96" s="33">
        <v>208.54</v>
      </c>
      <c r="M96" s="34">
        <f t="shared" si="8"/>
        <v>285.22000000000003</v>
      </c>
      <c r="N96" s="34">
        <f>IF(Premissas!$C$6=2022,G96,IF(Premissas!$C$6=2023,J96,IF(Premissas!$C$6=2024,M96,AVERAGE(G96,J96,M96))))</f>
        <v>285.22000000000003</v>
      </c>
      <c r="O96" s="33">
        <v>22.24</v>
      </c>
    </row>
    <row r="97" spans="1:15" ht="14.25" customHeight="1" x14ac:dyDescent="0.3">
      <c r="A97" s="12" t="s">
        <v>259</v>
      </c>
      <c r="B97" s="16" t="s">
        <v>239</v>
      </c>
      <c r="C97" s="16">
        <v>1</v>
      </c>
      <c r="D97" s="22" t="s">
        <v>145</v>
      </c>
      <c r="E97" s="33">
        <v>166.28</v>
      </c>
      <c r="F97" s="33">
        <v>319.5</v>
      </c>
      <c r="G97" s="34">
        <f t="shared" si="6"/>
        <v>485.78</v>
      </c>
      <c r="H97" s="33">
        <v>161.87</v>
      </c>
      <c r="I97" s="33">
        <v>346.72</v>
      </c>
      <c r="J97" s="34">
        <f t="shared" si="7"/>
        <v>508.59000000000003</v>
      </c>
      <c r="K97" s="33">
        <v>144.46</v>
      </c>
      <c r="L97" s="33">
        <v>347.41</v>
      </c>
      <c r="M97" s="34">
        <f t="shared" si="8"/>
        <v>491.87</v>
      </c>
      <c r="N97" s="34">
        <f>IF(Premissas!$C$6=2022,G97,IF(Premissas!$C$6=2023,J97,IF(Premissas!$C$6=2024,M97,AVERAGE(G97,J97,M97))))</f>
        <v>491.87</v>
      </c>
      <c r="O97" s="33">
        <v>27.02</v>
      </c>
    </row>
    <row r="98" spans="1:15" ht="14.25" customHeight="1" x14ac:dyDescent="0.3">
      <c r="A98" s="12" t="s">
        <v>260</v>
      </c>
      <c r="B98" s="16" t="s">
        <v>151</v>
      </c>
      <c r="C98" s="16">
        <v>0</v>
      </c>
      <c r="D98" s="22" t="s">
        <v>142</v>
      </c>
      <c r="E98" s="33">
        <v>114.48</v>
      </c>
      <c r="F98" s="33">
        <v>216.6</v>
      </c>
      <c r="G98" s="34">
        <f t="shared" si="6"/>
        <v>331.08</v>
      </c>
      <c r="H98" s="33">
        <v>93.2</v>
      </c>
      <c r="I98" s="33">
        <v>247.86</v>
      </c>
      <c r="J98" s="34">
        <f t="shared" si="7"/>
        <v>341.06</v>
      </c>
      <c r="K98" s="33">
        <v>90.28</v>
      </c>
      <c r="L98" s="33">
        <v>262.89</v>
      </c>
      <c r="M98" s="34">
        <f t="shared" si="8"/>
        <v>353.16999999999996</v>
      </c>
      <c r="N98" s="34">
        <f>IF(Premissas!$C$6=2022,G98,IF(Premissas!$C$6=2023,J98,IF(Premissas!$C$6=2024,M98,AVERAGE(G98,J98,M98))))</f>
        <v>353.16999999999996</v>
      </c>
      <c r="O98" s="33">
        <v>20.440000000000001</v>
      </c>
    </row>
    <row r="99" spans="1:15" ht="14.25" customHeight="1" x14ac:dyDescent="0.3">
      <c r="A99" s="12" t="s">
        <v>261</v>
      </c>
      <c r="B99" s="16" t="s">
        <v>262</v>
      </c>
      <c r="C99" s="16">
        <v>1</v>
      </c>
      <c r="D99" s="22" t="s">
        <v>145</v>
      </c>
      <c r="E99" s="33">
        <v>144.91</v>
      </c>
      <c r="F99" s="33">
        <v>335.75</v>
      </c>
      <c r="G99" s="34">
        <f t="shared" si="6"/>
        <v>480.65999999999997</v>
      </c>
      <c r="H99" s="33">
        <v>127.2</v>
      </c>
      <c r="I99" s="33">
        <v>392.71</v>
      </c>
      <c r="J99" s="34">
        <f t="shared" si="7"/>
        <v>519.91</v>
      </c>
      <c r="K99" s="33">
        <v>123.4</v>
      </c>
      <c r="L99" s="33">
        <v>369.3</v>
      </c>
      <c r="M99" s="34">
        <f t="shared" si="8"/>
        <v>492.70000000000005</v>
      </c>
      <c r="N99" s="34">
        <f>IF(Premissas!$C$6=2022,G99,IF(Premissas!$C$6=2023,J99,IF(Premissas!$C$6=2024,M99,AVERAGE(G99,J99,M99))))</f>
        <v>492.70000000000005</v>
      </c>
      <c r="O99" s="33">
        <v>12.3</v>
      </c>
    </row>
    <row r="100" spans="1:15" ht="14.25" customHeight="1" x14ac:dyDescent="0.3">
      <c r="A100" s="12" t="s">
        <v>263</v>
      </c>
      <c r="B100" s="16" t="s">
        <v>264</v>
      </c>
      <c r="C100" s="16">
        <v>1</v>
      </c>
      <c r="D100" s="22" t="s">
        <v>145</v>
      </c>
      <c r="E100" s="33">
        <v>83.6</v>
      </c>
      <c r="F100" s="33">
        <v>305.16000000000003</v>
      </c>
      <c r="G100" s="34">
        <f t="shared" si="6"/>
        <v>388.76</v>
      </c>
      <c r="H100" s="33">
        <v>93.65</v>
      </c>
      <c r="I100" s="33">
        <v>320.94</v>
      </c>
      <c r="J100" s="34">
        <f t="shared" si="7"/>
        <v>414.59000000000003</v>
      </c>
      <c r="K100" s="33">
        <v>87.9</v>
      </c>
      <c r="L100" s="33">
        <v>316.73</v>
      </c>
      <c r="M100" s="34">
        <f t="shared" si="8"/>
        <v>404.63</v>
      </c>
      <c r="N100" s="34">
        <f>IF(Premissas!$C$6=2022,G100,IF(Premissas!$C$6=2023,J100,IF(Premissas!$C$6=2024,M100,AVERAGE(G100,J100,M100))))</f>
        <v>404.63</v>
      </c>
      <c r="O100" s="33">
        <v>22.68</v>
      </c>
    </row>
    <row r="101" spans="1:15" ht="14.25" customHeight="1" x14ac:dyDescent="0.3">
      <c r="A101" s="12" t="s">
        <v>265</v>
      </c>
      <c r="B101" s="16" t="s">
        <v>147</v>
      </c>
      <c r="C101" s="16">
        <v>0</v>
      </c>
      <c r="D101" s="22" t="s">
        <v>148</v>
      </c>
      <c r="E101" s="33">
        <v>96.69</v>
      </c>
      <c r="F101" s="33">
        <v>196.57</v>
      </c>
      <c r="G101" s="34">
        <f t="shared" ref="G101:G107" si="9">E101+F101</f>
        <v>293.26</v>
      </c>
      <c r="H101" s="33">
        <v>79.77</v>
      </c>
      <c r="I101" s="33">
        <v>178.76</v>
      </c>
      <c r="J101" s="34">
        <f t="shared" ref="J101:J107" si="10">H101+I101</f>
        <v>258.52999999999997</v>
      </c>
      <c r="K101" s="33">
        <v>85.43</v>
      </c>
      <c r="L101" s="33">
        <v>204.96</v>
      </c>
      <c r="M101" s="34">
        <f t="shared" ref="M101:M107" si="11">K101+L101</f>
        <v>290.39</v>
      </c>
      <c r="N101" s="34">
        <f>IF(Premissas!$C$6=2022,G101,IF(Premissas!$C$6=2023,J101,IF(Premissas!$C$6=2024,M101,AVERAGE(G101,J101,M101))))</f>
        <v>290.39</v>
      </c>
      <c r="O101" s="33">
        <v>46.85</v>
      </c>
    </row>
    <row r="102" spans="1:15" ht="14.25" customHeight="1" x14ac:dyDescent="0.3">
      <c r="A102" s="12" t="s">
        <v>266</v>
      </c>
      <c r="B102" s="16" t="s">
        <v>147</v>
      </c>
      <c r="C102" s="16">
        <v>0</v>
      </c>
      <c r="D102" s="22" t="s">
        <v>148</v>
      </c>
      <c r="E102" s="33">
        <v>83.28</v>
      </c>
      <c r="F102" s="33">
        <v>197.69</v>
      </c>
      <c r="G102" s="34">
        <f t="shared" si="9"/>
        <v>280.97000000000003</v>
      </c>
      <c r="H102" s="33">
        <v>69.84</v>
      </c>
      <c r="I102" s="33">
        <v>238.26</v>
      </c>
      <c r="J102" s="34">
        <f t="shared" si="10"/>
        <v>308.10000000000002</v>
      </c>
      <c r="K102" s="33">
        <v>70.739999999999995</v>
      </c>
      <c r="L102" s="33">
        <v>225.59</v>
      </c>
      <c r="M102" s="34">
        <f t="shared" si="11"/>
        <v>296.33</v>
      </c>
      <c r="N102" s="34">
        <f>IF(Premissas!$C$6=2022,G102,IF(Premissas!$C$6=2023,J102,IF(Premissas!$C$6=2024,M102,AVERAGE(G102,J102,M102))))</f>
        <v>296.33</v>
      </c>
      <c r="O102" s="33">
        <v>16.89</v>
      </c>
    </row>
    <row r="103" spans="1:15" ht="14.25" customHeight="1" x14ac:dyDescent="0.3">
      <c r="A103" s="12" t="s">
        <v>267</v>
      </c>
      <c r="B103" s="16" t="s">
        <v>151</v>
      </c>
      <c r="C103" s="16">
        <v>1</v>
      </c>
      <c r="D103" s="22" t="s">
        <v>145</v>
      </c>
      <c r="E103" s="33">
        <v>116.79</v>
      </c>
      <c r="F103" s="33">
        <v>249.61</v>
      </c>
      <c r="G103" s="34">
        <f t="shared" si="9"/>
        <v>366.40000000000003</v>
      </c>
      <c r="H103" s="33">
        <v>94.21</v>
      </c>
      <c r="I103" s="33">
        <v>276.25</v>
      </c>
      <c r="J103" s="34">
        <f t="shared" si="10"/>
        <v>370.46</v>
      </c>
      <c r="K103" s="33">
        <v>106.84</v>
      </c>
      <c r="L103" s="33">
        <v>270.8</v>
      </c>
      <c r="M103" s="34">
        <f t="shared" si="11"/>
        <v>377.64</v>
      </c>
      <c r="N103" s="34">
        <f>IF(Premissas!$C$6=2022,G103,IF(Premissas!$C$6=2023,J103,IF(Premissas!$C$6=2024,M103,AVERAGE(G103,J103,M103))))</f>
        <v>377.64</v>
      </c>
      <c r="O103" s="33">
        <v>25.18</v>
      </c>
    </row>
    <row r="104" spans="1:15" ht="14.25" customHeight="1" x14ac:dyDescent="0.3">
      <c r="A104" s="12" t="s">
        <v>268</v>
      </c>
      <c r="B104" s="16" t="s">
        <v>254</v>
      </c>
      <c r="C104" s="16">
        <v>0</v>
      </c>
      <c r="D104" s="22" t="s">
        <v>142</v>
      </c>
      <c r="E104" s="33">
        <v>65.010000000000005</v>
      </c>
      <c r="F104" s="33">
        <v>213.02</v>
      </c>
      <c r="G104" s="34">
        <f t="shared" si="9"/>
        <v>278.03000000000003</v>
      </c>
      <c r="H104" s="33">
        <v>70.09</v>
      </c>
      <c r="I104" s="33">
        <v>163.11000000000001</v>
      </c>
      <c r="J104" s="34">
        <f t="shared" si="10"/>
        <v>233.20000000000002</v>
      </c>
      <c r="K104" s="33">
        <v>63.81</v>
      </c>
      <c r="L104" s="33">
        <v>214.42</v>
      </c>
      <c r="M104" s="34">
        <f t="shared" si="11"/>
        <v>278.23</v>
      </c>
      <c r="N104" s="34">
        <f>IF(Premissas!$C$6=2022,G104,IF(Premissas!$C$6=2023,J104,IF(Premissas!$C$6=2024,M104,AVERAGE(G104,J104,M104))))</f>
        <v>278.23</v>
      </c>
      <c r="O104" s="33">
        <v>22.8</v>
      </c>
    </row>
    <row r="105" spans="1:15" ht="14.25" customHeight="1" x14ac:dyDescent="0.3">
      <c r="A105" s="12" t="s">
        <v>269</v>
      </c>
      <c r="B105" s="16" t="s">
        <v>151</v>
      </c>
      <c r="C105" s="16">
        <v>0</v>
      </c>
      <c r="D105" s="22" t="s">
        <v>142</v>
      </c>
      <c r="E105" s="33">
        <v>116.79</v>
      </c>
      <c r="F105" s="33">
        <v>195.9</v>
      </c>
      <c r="G105" s="34">
        <f t="shared" si="9"/>
        <v>312.69</v>
      </c>
      <c r="H105" s="33">
        <v>94.21</v>
      </c>
      <c r="I105" s="33">
        <v>262.58</v>
      </c>
      <c r="J105" s="34">
        <f t="shared" si="10"/>
        <v>356.78999999999996</v>
      </c>
      <c r="K105" s="33">
        <v>94.21</v>
      </c>
      <c r="L105" s="33">
        <v>275.64</v>
      </c>
      <c r="M105" s="34">
        <f t="shared" si="11"/>
        <v>369.84999999999997</v>
      </c>
      <c r="N105" s="34">
        <f>IF(Premissas!$C$6=2022,G105,IF(Premissas!$C$6=2023,J105,IF(Premissas!$C$6=2024,M105,AVERAGE(G105,J105,M105))))</f>
        <v>369.84999999999997</v>
      </c>
      <c r="O105" s="33">
        <v>25.68</v>
      </c>
    </row>
    <row r="106" spans="1:15" ht="14.25" customHeight="1" x14ac:dyDescent="0.3">
      <c r="A106" s="12" t="s">
        <v>270</v>
      </c>
      <c r="B106" s="16" t="s">
        <v>271</v>
      </c>
      <c r="C106" s="16">
        <v>1</v>
      </c>
      <c r="D106" s="22" t="s">
        <v>145</v>
      </c>
      <c r="E106" s="33">
        <v>109.44</v>
      </c>
      <c r="F106" s="33">
        <v>317.39</v>
      </c>
      <c r="G106" s="34">
        <f t="shared" si="9"/>
        <v>426.83</v>
      </c>
      <c r="H106" s="33">
        <v>109.44</v>
      </c>
      <c r="I106" s="33">
        <v>317.39</v>
      </c>
      <c r="J106" s="34">
        <f t="shared" si="10"/>
        <v>426.83</v>
      </c>
      <c r="K106" s="33">
        <v>98.68</v>
      </c>
      <c r="L106" s="33">
        <v>302.12</v>
      </c>
      <c r="M106" s="34">
        <f t="shared" si="11"/>
        <v>400.8</v>
      </c>
      <c r="N106" s="34">
        <f>IF(Premissas!$C$6=2022,G106,IF(Premissas!$C$6=2023,J106,IF(Premissas!$C$6=2024,M106,AVERAGE(G106,J106,M106))))</f>
        <v>400.8</v>
      </c>
      <c r="O106" s="33">
        <v>16.78</v>
      </c>
    </row>
    <row r="107" spans="1:15" ht="14.25" customHeight="1" x14ac:dyDescent="0.3">
      <c r="A107" s="12" t="s">
        <v>272</v>
      </c>
      <c r="B107" s="16" t="s">
        <v>273</v>
      </c>
      <c r="C107" s="16">
        <v>1</v>
      </c>
      <c r="D107" s="22" t="s">
        <v>145</v>
      </c>
      <c r="E107" s="33">
        <v>182.53</v>
      </c>
      <c r="F107" s="33">
        <v>272.76</v>
      </c>
      <c r="G107" s="34">
        <f t="shared" si="9"/>
        <v>455.28999999999996</v>
      </c>
      <c r="H107" s="33">
        <v>182.53</v>
      </c>
      <c r="I107" s="33">
        <v>272.76</v>
      </c>
      <c r="J107" s="34">
        <f t="shared" si="10"/>
        <v>455.28999999999996</v>
      </c>
      <c r="K107" s="33">
        <v>143.78</v>
      </c>
      <c r="L107" s="33">
        <v>369.8</v>
      </c>
      <c r="M107" s="34">
        <f t="shared" si="11"/>
        <v>513.58000000000004</v>
      </c>
      <c r="N107" s="34">
        <f>IF(Premissas!$C$6=2022,G107,IF(Premissas!$C$6=2023,J107,IF(Premissas!$C$6=2024,M107,AVERAGE(G107,J107,M107))))</f>
        <v>513.58000000000004</v>
      </c>
      <c r="O107" s="33">
        <v>24.15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zoomScaleNormal="100" workbookViewId="0">
      <pane ySplit="4" topLeftCell="A5" activePane="bottomLeft" state="frozen"/>
      <selection pane="bottomLeft" activeCell="N4" sqref="N4"/>
    </sheetView>
  </sheetViews>
  <sheetFormatPr defaultColWidth="8.6640625" defaultRowHeight="14.4" x14ac:dyDescent="0.3"/>
  <cols>
    <col min="1" max="1" width="7" customWidth="1"/>
    <col min="2" max="2" width="13" customWidth="1"/>
    <col min="3" max="3" width="17" customWidth="1"/>
    <col min="4" max="4" width="14" customWidth="1"/>
    <col min="5" max="5" width="16" customWidth="1"/>
    <col min="6" max="6" width="17" customWidth="1"/>
    <col min="7" max="7" width="10" customWidth="1"/>
    <col min="8" max="8" width="17" customWidth="1"/>
    <col min="9" max="10" width="10" customWidth="1"/>
    <col min="11" max="11" width="18" customWidth="1"/>
  </cols>
  <sheetData>
    <row r="1" spans="1:11" ht="17.25" customHeight="1" x14ac:dyDescent="0.3">
      <c r="A1" s="8" t="s">
        <v>274</v>
      </c>
    </row>
    <row r="2" spans="1:11" ht="14.25" customHeight="1" x14ac:dyDescent="0.3">
      <c r="A2" s="25" t="s">
        <v>275</v>
      </c>
    </row>
    <row r="4" spans="1:11" ht="39" customHeight="1" x14ac:dyDescent="0.3">
      <c r="A4" s="32" t="s">
        <v>126</v>
      </c>
      <c r="B4" s="32" t="s">
        <v>276</v>
      </c>
      <c r="C4" s="32" t="s">
        <v>277</v>
      </c>
      <c r="D4" s="32" t="s">
        <v>278</v>
      </c>
      <c r="E4" s="32" t="s">
        <v>279</v>
      </c>
      <c r="F4" s="32" t="s">
        <v>280</v>
      </c>
      <c r="G4" s="32" t="s">
        <v>281</v>
      </c>
      <c r="H4" s="32" t="s">
        <v>282</v>
      </c>
      <c r="I4" s="32" t="s">
        <v>283</v>
      </c>
      <c r="J4" s="32" t="s">
        <v>284</v>
      </c>
      <c r="K4" s="32" t="s">
        <v>285</v>
      </c>
    </row>
    <row r="5" spans="1:11" ht="14.25" customHeight="1" x14ac:dyDescent="0.3">
      <c r="A5" s="12" t="s">
        <v>221</v>
      </c>
      <c r="B5" s="12">
        <f>SUMIFS(EE_ANEEL!$C$5:$C$107,EE_ANEEL!$B$5:$B$107,A5)</f>
        <v>1</v>
      </c>
      <c r="C5" s="34">
        <f>IF(B5=0,$C$33,SUMPRODUCT((EE_ANEEL!$B$5:$B$107=A5)*EE_ANEEL!$C$5:$C$107*EE_ANEEL!$N$5:$N$107)/B5)</f>
        <v>316.88</v>
      </c>
      <c r="D5" s="34">
        <f>IF(B5=0,$D$33,SUMPRODUCT((EE_ANEEL!$B$5:$B$107=A5)*EE_ANEEL!$C$5:$C$107*EE_ANEEL!$O$5:$O$107)/B5)</f>
        <v>31.74</v>
      </c>
      <c r="E5" s="34">
        <f>IF(Premissas!$C$28="SIM",D5*12/(8.76*Premissas!$C$29),0)</f>
        <v>48.310502283105023</v>
      </c>
      <c r="F5" s="34">
        <f t="shared" ref="F5:F31" si="0">C5+E5</f>
        <v>365.19050228310505</v>
      </c>
      <c r="G5" s="23">
        <f>Premissas!$C$26</f>
        <v>0.18</v>
      </c>
      <c r="H5" s="34">
        <f>IF(Premissas!$C$19="COM",F5/(1-G5-Premissas!$C$27),F5)</f>
        <v>474.27337958844811</v>
      </c>
      <c r="I5" s="34">
        <f>H5/Premissas!$C$21</f>
        <v>131.74260544123558</v>
      </c>
      <c r="J5" s="34">
        <f>I5/Premissas!$C$23</f>
        <v>24.432975786579298</v>
      </c>
      <c r="K5" s="35" t="str">
        <f t="shared" ref="K5:K31" si="1">IF(B5=0,"SIM — nacional","")</f>
        <v/>
      </c>
    </row>
    <row r="6" spans="1:11" ht="14.25" customHeight="1" x14ac:dyDescent="0.3">
      <c r="A6" s="12" t="s">
        <v>243</v>
      </c>
      <c r="B6" s="12">
        <f>SUMIFS(EE_ANEEL!$C$5:$C$107,EE_ANEEL!$B$5:$B$107,A6)</f>
        <v>1</v>
      </c>
      <c r="C6" s="34">
        <f>IF(B6=0,$C$33,SUMPRODUCT((EE_ANEEL!$B$5:$B$107=A6)*EE_ANEEL!$C$5:$C$107*EE_ANEEL!$N$5:$N$107)/B6)</f>
        <v>420.46000000000004</v>
      </c>
      <c r="D6" s="34">
        <f>IF(B6=0,$D$33,SUMPRODUCT((EE_ANEEL!$B$5:$B$107=A6)*EE_ANEEL!$C$5:$C$107*EE_ANEEL!$O$5:$O$107)/B6)</f>
        <v>27.48</v>
      </c>
      <c r="E6" s="34">
        <f>IF(Premissas!$C$28="SIM",D6*12/(8.76*Premissas!$C$29),0)</f>
        <v>41.826484018264836</v>
      </c>
      <c r="F6" s="34">
        <f t="shared" si="0"/>
        <v>462.2864840182649</v>
      </c>
      <c r="G6" s="23">
        <f>Premissas!$C$26</f>
        <v>0.18</v>
      </c>
      <c r="H6" s="34">
        <f>IF(Premissas!$C$19="COM",F6/(1-G6-Premissas!$C$27),F6)</f>
        <v>600.37205716657775</v>
      </c>
      <c r="I6" s="34">
        <f>H6/Premissas!$C$21</f>
        <v>166.77001587960493</v>
      </c>
      <c r="J6" s="34">
        <f>I6/Premissas!$C$23</f>
        <v>30.929157247701209</v>
      </c>
      <c r="K6" s="35" t="str">
        <f t="shared" si="1"/>
        <v/>
      </c>
    </row>
    <row r="7" spans="1:11" ht="14.25" customHeight="1" x14ac:dyDescent="0.3">
      <c r="A7" s="12" t="s">
        <v>273</v>
      </c>
      <c r="B7" s="12">
        <f>SUMIFS(EE_ANEEL!$C$5:$C$107,EE_ANEEL!$B$5:$B$107,A7)</f>
        <v>1</v>
      </c>
      <c r="C7" s="34">
        <f>IF(B7=0,$C$33,SUMPRODUCT((EE_ANEEL!$B$5:$B$107=A7)*EE_ANEEL!$C$5:$C$107*EE_ANEEL!$N$5:$N$107)/B7)</f>
        <v>513.58000000000004</v>
      </c>
      <c r="D7" s="34">
        <f>IF(B7=0,$D$33,SUMPRODUCT((EE_ANEEL!$B$5:$B$107=A7)*EE_ANEEL!$C$5:$C$107*EE_ANEEL!$O$5:$O$107)/B7)</f>
        <v>24.15</v>
      </c>
      <c r="E7" s="34">
        <f>IF(Premissas!$C$28="SIM",D7*12/(8.76*Premissas!$C$29),0)</f>
        <v>36.757990867579899</v>
      </c>
      <c r="F7" s="34">
        <f t="shared" si="0"/>
        <v>550.33799086757995</v>
      </c>
      <c r="G7" s="23">
        <f>Premissas!$C$26</f>
        <v>0.18</v>
      </c>
      <c r="H7" s="34">
        <f>IF(Premissas!$C$19="COM",F7/(1-G7-Premissas!$C$27),F7)</f>
        <v>714.72466346438955</v>
      </c>
      <c r="I7" s="34">
        <f>H7/Premissas!$C$21</f>
        <v>198.53462874010819</v>
      </c>
      <c r="J7" s="34">
        <f>I7/Premissas!$C$23</f>
        <v>36.820220463669912</v>
      </c>
      <c r="K7" s="35" t="str">
        <f t="shared" si="1"/>
        <v/>
      </c>
    </row>
    <row r="8" spans="1:11" ht="14.25" customHeight="1" x14ac:dyDescent="0.3">
      <c r="A8" s="12" t="s">
        <v>144</v>
      </c>
      <c r="B8" s="12">
        <f>SUMIFS(EE_ANEEL!$C$5:$C$107,EE_ANEEL!$B$5:$B$107,A8)</f>
        <v>1</v>
      </c>
      <c r="C8" s="34">
        <f>IF(B8=0,$C$33,SUMPRODUCT((EE_ANEEL!$B$5:$B$107=A8)*EE_ANEEL!$C$5:$C$107*EE_ANEEL!$N$5:$N$107)/B8)</f>
        <v>387.44</v>
      </c>
      <c r="D8" s="34">
        <f>IF(B8=0,$D$33,SUMPRODUCT((EE_ANEEL!$B$5:$B$107=A8)*EE_ANEEL!$C$5:$C$107*EE_ANEEL!$O$5:$O$107)/B8)</f>
        <v>33.76</v>
      </c>
      <c r="E8" s="34">
        <f>IF(Premissas!$C$28="SIM",D8*12/(8.76*Premissas!$C$29),0)</f>
        <v>51.385083713850833</v>
      </c>
      <c r="F8" s="34">
        <f t="shared" si="0"/>
        <v>438.82508371385086</v>
      </c>
      <c r="G8" s="23">
        <f>Premissas!$C$26</f>
        <v>0.18</v>
      </c>
      <c r="H8" s="34">
        <f>IF(Premissas!$C$19="COM",F8/(1-G8-Premissas!$C$27),F8)</f>
        <v>569.90270612188419</v>
      </c>
      <c r="I8" s="34">
        <f>H8/Premissas!$C$21</f>
        <v>158.30630725607895</v>
      </c>
      <c r="J8" s="34">
        <f>I8/Premissas!$C$23</f>
        <v>29.359478348679328</v>
      </c>
      <c r="K8" s="35" t="str">
        <f t="shared" si="1"/>
        <v/>
      </c>
    </row>
    <row r="9" spans="1:11" ht="14.25" customHeight="1" x14ac:dyDescent="0.3">
      <c r="A9" s="12" t="s">
        <v>197</v>
      </c>
      <c r="B9" s="12">
        <f>SUMIFS(EE_ANEEL!$C$5:$C$107,EE_ANEEL!$B$5:$B$107,A9)</f>
        <v>1</v>
      </c>
      <c r="C9" s="34">
        <f>IF(B9=0,$C$33,SUMPRODUCT((EE_ANEEL!$B$5:$B$107=A9)*EE_ANEEL!$C$5:$C$107*EE_ANEEL!$N$5:$N$107)/B9)</f>
        <v>362.7</v>
      </c>
      <c r="D9" s="34">
        <f>IF(B9=0,$D$33,SUMPRODUCT((EE_ANEEL!$B$5:$B$107=A9)*EE_ANEEL!$C$5:$C$107*EE_ANEEL!$O$5:$O$107)/B9)</f>
        <v>38.840000000000003</v>
      </c>
      <c r="E9" s="34">
        <f>IF(Premissas!$C$28="SIM",D9*12/(8.76*Premissas!$C$29),0)</f>
        <v>59.117199391171994</v>
      </c>
      <c r="F9" s="34">
        <f t="shared" si="0"/>
        <v>421.81719939117198</v>
      </c>
      <c r="G9" s="23">
        <f>Premissas!$C$26</f>
        <v>0.18</v>
      </c>
      <c r="H9" s="34">
        <f>IF(Premissas!$C$19="COM",F9/(1-G9-Premissas!$C$27),F9)</f>
        <v>547.81454466385969</v>
      </c>
      <c r="I9" s="34">
        <f>H9/Premissas!$C$21</f>
        <v>152.17070685107214</v>
      </c>
      <c r="J9" s="34">
        <f>I9/Premissas!$C$23</f>
        <v>28.221570261697355</v>
      </c>
      <c r="K9" s="35" t="str">
        <f t="shared" si="1"/>
        <v/>
      </c>
    </row>
    <row r="10" spans="1:11" ht="14.25" customHeight="1" x14ac:dyDescent="0.3">
      <c r="A10" s="12" t="s">
        <v>237</v>
      </c>
      <c r="B10" s="12">
        <f>SUMIFS(EE_ANEEL!$C$5:$C$107,EE_ANEEL!$B$5:$B$107,A10)</f>
        <v>1</v>
      </c>
      <c r="C10" s="34">
        <f>IF(B10=0,$C$33,SUMPRODUCT((EE_ANEEL!$B$5:$B$107=A10)*EE_ANEEL!$C$5:$C$107*EE_ANEEL!$N$5:$N$107)/B10)</f>
        <v>340.99</v>
      </c>
      <c r="D10" s="34">
        <f>IF(B10=0,$D$33,SUMPRODUCT((EE_ANEEL!$B$5:$B$107=A10)*EE_ANEEL!$C$5:$C$107*EE_ANEEL!$O$5:$O$107)/B10)</f>
        <v>22.65</v>
      </c>
      <c r="E10" s="34">
        <f>IF(Premissas!$C$28="SIM",D10*12/(8.76*Premissas!$C$29),0)</f>
        <v>34.474885844748854</v>
      </c>
      <c r="F10" s="34">
        <f t="shared" si="0"/>
        <v>375.46488584474889</v>
      </c>
      <c r="G10" s="23">
        <f>Premissas!$C$26</f>
        <v>0.18</v>
      </c>
      <c r="H10" s="34">
        <f>IF(Premissas!$C$19="COM",F10/(1-G10-Premissas!$C$27),F10)</f>
        <v>487.61673486331023</v>
      </c>
      <c r="I10" s="34">
        <f>H10/Premissas!$C$21</f>
        <v>135.44909301758616</v>
      </c>
      <c r="J10" s="34">
        <f>I10/Premissas!$C$23</f>
        <v>25.120380752519686</v>
      </c>
      <c r="K10" s="35" t="str">
        <f t="shared" si="1"/>
        <v/>
      </c>
    </row>
    <row r="11" spans="1:11" ht="14.25" customHeight="1" x14ac:dyDescent="0.3">
      <c r="A11" s="12" t="s">
        <v>262</v>
      </c>
      <c r="B11" s="12">
        <f>SUMIFS(EE_ANEEL!$C$5:$C$107,EE_ANEEL!$B$5:$B$107,A11)</f>
        <v>1</v>
      </c>
      <c r="C11" s="34">
        <f>IF(B11=0,$C$33,SUMPRODUCT((EE_ANEEL!$B$5:$B$107=A11)*EE_ANEEL!$C$5:$C$107*EE_ANEEL!$N$5:$N$107)/B11)</f>
        <v>492.70000000000005</v>
      </c>
      <c r="D11" s="34">
        <f>IF(B11=0,$D$33,SUMPRODUCT((EE_ANEEL!$B$5:$B$107=A11)*EE_ANEEL!$C$5:$C$107*EE_ANEEL!$O$5:$O$107)/B11)</f>
        <v>12.3</v>
      </c>
      <c r="E11" s="34">
        <f>IF(Premissas!$C$28="SIM",D11*12/(8.76*Premissas!$C$29),0)</f>
        <v>18.721461187214615</v>
      </c>
      <c r="F11" s="34">
        <f t="shared" si="0"/>
        <v>511.42146118721467</v>
      </c>
      <c r="G11" s="23">
        <f>Premissas!$C$26</f>
        <v>0.18</v>
      </c>
      <c r="H11" s="34">
        <f>IF(Premissas!$C$19="COM",F11/(1-G11-Premissas!$C$27),F11)</f>
        <v>664.18371582755151</v>
      </c>
      <c r="I11" s="34">
        <f>H11/Premissas!$C$21</f>
        <v>184.49547661876431</v>
      </c>
      <c r="J11" s="34">
        <f>I11/Premissas!$C$23</f>
        <v>34.21652014442958</v>
      </c>
      <c r="K11" s="35" t="str">
        <f t="shared" si="1"/>
        <v/>
      </c>
    </row>
    <row r="12" spans="1:11" ht="14.25" customHeight="1" x14ac:dyDescent="0.3">
      <c r="A12" s="12" t="s">
        <v>223</v>
      </c>
      <c r="B12" s="12">
        <f>SUMIFS(EE_ANEEL!$C$5:$C$107,EE_ANEEL!$B$5:$B$107,A12)</f>
        <v>1</v>
      </c>
      <c r="C12" s="34">
        <f>IF(B12=0,$C$33,SUMPRODUCT((EE_ANEEL!$B$5:$B$107=A12)*EE_ANEEL!$C$5:$C$107*EE_ANEEL!$N$5:$N$107)/B12)</f>
        <v>392.61</v>
      </c>
      <c r="D12" s="34">
        <f>IF(B12=0,$D$33,SUMPRODUCT((EE_ANEEL!$B$5:$B$107=A12)*EE_ANEEL!$C$5:$C$107*EE_ANEEL!$O$5:$O$107)/B12)</f>
        <v>31.83</v>
      </c>
      <c r="E12" s="34">
        <f>IF(Premissas!$C$28="SIM",D12*12/(8.76*Premissas!$C$29),0)</f>
        <v>48.447488584474883</v>
      </c>
      <c r="F12" s="34">
        <f t="shared" si="0"/>
        <v>441.05748858447487</v>
      </c>
      <c r="G12" s="23">
        <f>Premissas!$C$26</f>
        <v>0.18</v>
      </c>
      <c r="H12" s="34">
        <f>IF(Premissas!$C$19="COM",F12/(1-G12-Premissas!$C$27),F12)</f>
        <v>572.80193322659068</v>
      </c>
      <c r="I12" s="34">
        <f>H12/Premissas!$C$21</f>
        <v>159.11164811849741</v>
      </c>
      <c r="J12" s="34">
        <f>I12/Premissas!$C$23</f>
        <v>29.508836817228747</v>
      </c>
      <c r="K12" s="35" t="str">
        <f t="shared" si="1"/>
        <v/>
      </c>
    </row>
    <row r="13" spans="1:11" ht="14.25" customHeight="1" x14ac:dyDescent="0.3">
      <c r="A13" s="12" t="s">
        <v>193</v>
      </c>
      <c r="B13" s="12">
        <f>SUMIFS(EE_ANEEL!$C$5:$C$107,EE_ANEEL!$B$5:$B$107,A13)</f>
        <v>1</v>
      </c>
      <c r="C13" s="34">
        <f>IF(B13=0,$C$33,SUMPRODUCT((EE_ANEEL!$B$5:$B$107=A13)*EE_ANEEL!$C$5:$C$107*EE_ANEEL!$N$5:$N$107)/B13)</f>
        <v>354.22999999999996</v>
      </c>
      <c r="D13" s="34">
        <f>IF(B13=0,$D$33,SUMPRODUCT((EE_ANEEL!$B$5:$B$107=A13)*EE_ANEEL!$C$5:$C$107*EE_ANEEL!$O$5:$O$107)/B13)</f>
        <v>27.09</v>
      </c>
      <c r="E13" s="34">
        <f>IF(Premissas!$C$28="SIM",D13*12/(8.76*Premissas!$C$29),0)</f>
        <v>41.232876712328761</v>
      </c>
      <c r="F13" s="34">
        <f t="shared" si="0"/>
        <v>395.46287671232869</v>
      </c>
      <c r="G13" s="23">
        <f>Premissas!$C$26</f>
        <v>0.18</v>
      </c>
      <c r="H13" s="34">
        <f>IF(Premissas!$C$19="COM",F13/(1-G13-Premissas!$C$27),F13)</f>
        <v>513.58815157445281</v>
      </c>
      <c r="I13" s="34">
        <f>H13/Premissas!$C$21</f>
        <v>142.66337543734801</v>
      </c>
      <c r="J13" s="34">
        <f>I13/Premissas!$C$23</f>
        <v>26.458341141941396</v>
      </c>
      <c r="K13" s="35" t="str">
        <f t="shared" si="1"/>
        <v/>
      </c>
    </row>
    <row r="14" spans="1:11" ht="14.25" customHeight="1" x14ac:dyDescent="0.3">
      <c r="A14" s="12" t="s">
        <v>246</v>
      </c>
      <c r="B14" s="12">
        <f>SUMIFS(EE_ANEEL!$C$5:$C$107,EE_ANEEL!$B$5:$B$107,A14)</f>
        <v>1</v>
      </c>
      <c r="C14" s="34">
        <f>IF(B14=0,$C$33,SUMPRODUCT((EE_ANEEL!$B$5:$B$107=A14)*EE_ANEEL!$C$5:$C$107*EE_ANEEL!$N$5:$N$107)/B14)</f>
        <v>315.73</v>
      </c>
      <c r="D14" s="34">
        <f>IF(B14=0,$D$33,SUMPRODUCT((EE_ANEEL!$B$5:$B$107=A14)*EE_ANEEL!$C$5:$C$107*EE_ANEEL!$O$5:$O$107)/B14)</f>
        <v>28.45</v>
      </c>
      <c r="E14" s="34">
        <f>IF(Premissas!$C$28="SIM",D14*12/(8.76*Premissas!$C$29),0)</f>
        <v>43.302891933028917</v>
      </c>
      <c r="F14" s="34">
        <f t="shared" si="0"/>
        <v>359.03289193302896</v>
      </c>
      <c r="G14" s="23">
        <f>Premissas!$C$26</f>
        <v>0.18</v>
      </c>
      <c r="H14" s="34">
        <f>IF(Premissas!$C$19="COM",F14/(1-G14-Premissas!$C$27),F14)</f>
        <v>466.27648302990775</v>
      </c>
      <c r="I14" s="34">
        <f>H14/Premissas!$C$21</f>
        <v>129.52124528608547</v>
      </c>
      <c r="J14" s="34">
        <f>I14/Premissas!$C$23</f>
        <v>24.021002464036624</v>
      </c>
      <c r="K14" s="35" t="str">
        <f t="shared" si="1"/>
        <v/>
      </c>
    </row>
    <row r="15" spans="1:11" ht="14.25" customHeight="1" x14ac:dyDescent="0.3">
      <c r="A15" s="12" t="s">
        <v>158</v>
      </c>
      <c r="B15" s="12">
        <f>SUMIFS(EE_ANEEL!$C$5:$C$107,EE_ANEEL!$B$5:$B$107,A15)</f>
        <v>1</v>
      </c>
      <c r="C15" s="34">
        <f>IF(B15=0,$C$33,SUMPRODUCT((EE_ANEEL!$B$5:$B$107=A15)*EE_ANEEL!$C$5:$C$107*EE_ANEEL!$N$5:$N$107)/B15)</f>
        <v>420.64</v>
      </c>
      <c r="D15" s="34">
        <f>IF(B15=0,$D$33,SUMPRODUCT((EE_ANEEL!$B$5:$B$107=A15)*EE_ANEEL!$C$5:$C$107*EE_ANEEL!$O$5:$O$107)/B15)</f>
        <v>22.23</v>
      </c>
      <c r="E15" s="34">
        <f>IF(Premissas!$C$28="SIM",D15*12/(8.76*Premissas!$C$29),0)</f>
        <v>33.835616438356162</v>
      </c>
      <c r="F15" s="34">
        <f t="shared" si="0"/>
        <v>454.47561643835616</v>
      </c>
      <c r="G15" s="23">
        <f>Premissas!$C$26</f>
        <v>0.18</v>
      </c>
      <c r="H15" s="34">
        <f>IF(Premissas!$C$19="COM",F15/(1-G15-Premissas!$C$27),F15)</f>
        <v>590.22807329656644</v>
      </c>
      <c r="I15" s="34">
        <f>H15/Premissas!$C$21</f>
        <v>163.95224258237957</v>
      </c>
      <c r="J15" s="34">
        <f>I15/Premissas!$C$23</f>
        <v>30.406573179224697</v>
      </c>
      <c r="K15" s="35" t="str">
        <f t="shared" si="1"/>
        <v/>
      </c>
    </row>
    <row r="16" spans="1:11" ht="14.25" customHeight="1" x14ac:dyDescent="0.3">
      <c r="A16" s="12" t="s">
        <v>233</v>
      </c>
      <c r="B16" s="12">
        <f>SUMIFS(EE_ANEEL!$C$5:$C$107,EE_ANEEL!$B$5:$B$107,A16)</f>
        <v>1</v>
      </c>
      <c r="C16" s="34">
        <f>IF(B16=0,$C$33,SUMPRODUCT((EE_ANEEL!$B$5:$B$107=A16)*EE_ANEEL!$C$5:$C$107*EE_ANEEL!$N$5:$N$107)/B16)</f>
        <v>422.1</v>
      </c>
      <c r="D16" s="34">
        <f>IF(B16=0,$D$33,SUMPRODUCT((EE_ANEEL!$B$5:$B$107=A16)*EE_ANEEL!$C$5:$C$107*EE_ANEEL!$O$5:$O$107)/B16)</f>
        <v>34.28</v>
      </c>
      <c r="E16" s="34">
        <f>IF(Premissas!$C$28="SIM",D16*12/(8.76*Premissas!$C$29),0)</f>
        <v>52.176560121765604</v>
      </c>
      <c r="F16" s="34">
        <f t="shared" si="0"/>
        <v>474.27656012176561</v>
      </c>
      <c r="G16" s="23">
        <f>Premissas!$C$26</f>
        <v>0.18</v>
      </c>
      <c r="H16" s="34">
        <f>IF(Premissas!$C$19="COM",F16/(1-G16-Premissas!$C$27),F16)</f>
        <v>615.94358457372152</v>
      </c>
      <c r="I16" s="34">
        <f>H16/Premissas!$C$21</f>
        <v>171.09544015936709</v>
      </c>
      <c r="J16" s="34">
        <f>I16/Premissas!$C$23</f>
        <v>31.73135017792416</v>
      </c>
      <c r="K16" s="35" t="str">
        <f t="shared" si="1"/>
        <v/>
      </c>
    </row>
    <row r="17" spans="1:11" ht="14.25" customHeight="1" x14ac:dyDescent="0.3">
      <c r="A17" s="12" t="s">
        <v>235</v>
      </c>
      <c r="B17" s="12">
        <f>SUMIFS(EE_ANEEL!$C$5:$C$107,EE_ANEEL!$B$5:$B$107,A17)</f>
        <v>1</v>
      </c>
      <c r="C17" s="34">
        <f>IF(B17=0,$C$33,SUMPRODUCT((EE_ANEEL!$B$5:$B$107=A17)*EE_ANEEL!$C$5:$C$107*EE_ANEEL!$N$5:$N$107)/B17)</f>
        <v>447.78000000000003</v>
      </c>
      <c r="D17" s="34">
        <f>IF(B17=0,$D$33,SUMPRODUCT((EE_ANEEL!$B$5:$B$107=A17)*EE_ANEEL!$C$5:$C$107*EE_ANEEL!$O$5:$O$107)/B17)</f>
        <v>30.46</v>
      </c>
      <c r="E17" s="34">
        <f>IF(Premissas!$C$28="SIM",D17*12/(8.76*Premissas!$C$29),0)</f>
        <v>46.36225266362252</v>
      </c>
      <c r="F17" s="34">
        <f t="shared" si="0"/>
        <v>494.14225266362257</v>
      </c>
      <c r="G17" s="23">
        <f>Premissas!$C$26</f>
        <v>0.18</v>
      </c>
      <c r="H17" s="34">
        <f>IF(Premissas!$C$19="COM",F17/(1-G17-Premissas!$C$27),F17)</f>
        <v>641.74318527743185</v>
      </c>
      <c r="I17" s="34">
        <f>H17/Premissas!$C$21</f>
        <v>178.26199591039773</v>
      </c>
      <c r="J17" s="34">
        <f>I17/Premissas!$C$23</f>
        <v>33.060459182195423</v>
      </c>
      <c r="K17" s="35" t="str">
        <f t="shared" si="1"/>
        <v/>
      </c>
    </row>
    <row r="18" spans="1:11" ht="14.25" customHeight="1" x14ac:dyDescent="0.3">
      <c r="A18" s="12" t="s">
        <v>248</v>
      </c>
      <c r="B18" s="12">
        <f>SUMIFS(EE_ANEEL!$C$5:$C$107,EE_ANEEL!$B$5:$B$107,A18)</f>
        <v>1</v>
      </c>
      <c r="C18" s="34">
        <f>IF(B18=0,$C$33,SUMPRODUCT((EE_ANEEL!$B$5:$B$107=A18)*EE_ANEEL!$C$5:$C$107*EE_ANEEL!$N$5:$N$107)/B18)</f>
        <v>397.53</v>
      </c>
      <c r="D18" s="34">
        <f>IF(B18=0,$D$33,SUMPRODUCT((EE_ANEEL!$B$5:$B$107=A18)*EE_ANEEL!$C$5:$C$107*EE_ANEEL!$O$5:$O$107)/B18)</f>
        <v>47.53</v>
      </c>
      <c r="E18" s="34">
        <f>IF(Premissas!$C$28="SIM",D18*12/(8.76*Premissas!$C$29),0)</f>
        <v>72.343987823439875</v>
      </c>
      <c r="F18" s="34">
        <f t="shared" si="0"/>
        <v>469.87398782343985</v>
      </c>
      <c r="G18" s="23">
        <f>Premissas!$C$26</f>
        <v>0.18</v>
      </c>
      <c r="H18" s="34">
        <f>IF(Premissas!$C$19="COM",F18/(1-G18-Premissas!$C$27),F18)</f>
        <v>610.22595821225957</v>
      </c>
      <c r="I18" s="34">
        <f>H18/Premissas!$C$21</f>
        <v>169.50721061451654</v>
      </c>
      <c r="J18" s="34">
        <f>I18/Premissas!$C$23</f>
        <v>31.436797220793125</v>
      </c>
      <c r="K18" s="35" t="str">
        <f t="shared" si="1"/>
        <v/>
      </c>
    </row>
    <row r="19" spans="1:11" ht="14.25" customHeight="1" x14ac:dyDescent="0.3">
      <c r="A19" s="12" t="s">
        <v>241</v>
      </c>
      <c r="B19" s="12">
        <f>SUMIFS(EE_ANEEL!$C$5:$C$107,EE_ANEEL!$B$5:$B$107,A19)</f>
        <v>1</v>
      </c>
      <c r="C19" s="34">
        <f>IF(B19=0,$C$33,SUMPRODUCT((EE_ANEEL!$B$5:$B$107=A19)*EE_ANEEL!$C$5:$C$107*EE_ANEEL!$N$5:$N$107)/B19)</f>
        <v>286.55</v>
      </c>
      <c r="D19" s="34">
        <f>IF(B19=0,$D$33,SUMPRODUCT((EE_ANEEL!$B$5:$B$107=A19)*EE_ANEEL!$C$5:$C$107*EE_ANEEL!$O$5:$O$107)/B19)</f>
        <v>24.72</v>
      </c>
      <c r="E19" s="34">
        <f>IF(Premissas!$C$28="SIM",D19*12/(8.76*Premissas!$C$29),0)</f>
        <v>37.625570776255707</v>
      </c>
      <c r="F19" s="34">
        <f t="shared" si="0"/>
        <v>324.17557077625571</v>
      </c>
      <c r="G19" s="23">
        <f>Premissas!$C$26</f>
        <v>0.18</v>
      </c>
      <c r="H19" s="34">
        <f>IF(Premissas!$C$19="COM",F19/(1-G19-Premissas!$C$27),F19)</f>
        <v>421.00723477435804</v>
      </c>
      <c r="I19" s="34">
        <f>H19/Premissas!$C$21</f>
        <v>116.94645410398834</v>
      </c>
      <c r="J19" s="34">
        <f>I19/Premissas!$C$23</f>
        <v>21.688882437683297</v>
      </c>
      <c r="K19" s="35" t="str">
        <f t="shared" si="1"/>
        <v/>
      </c>
    </row>
    <row r="20" spans="1:11" ht="14.25" customHeight="1" x14ac:dyDescent="0.3">
      <c r="A20" s="12" t="s">
        <v>264</v>
      </c>
      <c r="B20" s="12">
        <f>SUMIFS(EE_ANEEL!$C$5:$C$107,EE_ANEEL!$B$5:$B$107,A20)</f>
        <v>1</v>
      </c>
      <c r="C20" s="34">
        <f>IF(B20=0,$C$33,SUMPRODUCT((EE_ANEEL!$B$5:$B$107=A20)*EE_ANEEL!$C$5:$C$107*EE_ANEEL!$N$5:$N$107)/B20)</f>
        <v>404.63</v>
      </c>
      <c r="D20" s="34">
        <f>IF(B20=0,$D$33,SUMPRODUCT((EE_ANEEL!$B$5:$B$107=A20)*EE_ANEEL!$C$5:$C$107*EE_ANEEL!$O$5:$O$107)/B20)</f>
        <v>22.68</v>
      </c>
      <c r="E20" s="34">
        <f>IF(Premissas!$C$28="SIM",D20*12/(8.76*Premissas!$C$29),0)</f>
        <v>34.520547945205472</v>
      </c>
      <c r="F20" s="34">
        <f t="shared" si="0"/>
        <v>439.15054794520546</v>
      </c>
      <c r="G20" s="23">
        <f>Premissas!$C$26</f>
        <v>0.18</v>
      </c>
      <c r="H20" s="34">
        <f>IF(Premissas!$C$19="COM",F20/(1-G20-Premissas!$C$27),F20)</f>
        <v>570.32538694182529</v>
      </c>
      <c r="I20" s="34">
        <f>H20/Premissas!$C$21</f>
        <v>158.42371859495145</v>
      </c>
      <c r="J20" s="34">
        <f>I20/Premissas!$C$23</f>
        <v>29.38125344861859</v>
      </c>
      <c r="K20" s="35" t="str">
        <f t="shared" si="1"/>
        <v/>
      </c>
    </row>
    <row r="21" spans="1:11" ht="14.25" customHeight="1" x14ac:dyDescent="0.3">
      <c r="A21" s="12" t="s">
        <v>250</v>
      </c>
      <c r="B21" s="12">
        <f>SUMIFS(EE_ANEEL!$C$5:$C$107,EE_ANEEL!$B$5:$B$107,A21)</f>
        <v>1</v>
      </c>
      <c r="C21" s="34">
        <f>IF(B21=0,$C$33,SUMPRODUCT((EE_ANEEL!$B$5:$B$107=A21)*EE_ANEEL!$C$5:$C$107*EE_ANEEL!$N$5:$N$107)/B21)</f>
        <v>333.81</v>
      </c>
      <c r="D21" s="34">
        <f>IF(B21=0,$D$33,SUMPRODUCT((EE_ANEEL!$B$5:$B$107=A21)*EE_ANEEL!$C$5:$C$107*EE_ANEEL!$O$5:$O$107)/B21)</f>
        <v>31.72</v>
      </c>
      <c r="E21" s="34">
        <f>IF(Premissas!$C$28="SIM",D21*12/(8.76*Premissas!$C$29),0)</f>
        <v>48.280060882800605</v>
      </c>
      <c r="F21" s="34">
        <f t="shared" si="0"/>
        <v>382.09006088280063</v>
      </c>
      <c r="G21" s="23">
        <f>Premissas!$C$26</f>
        <v>0.18</v>
      </c>
      <c r="H21" s="34">
        <f>IF(Premissas!$C$19="COM",F21/(1-G21-Premissas!$C$27),F21)</f>
        <v>496.22085828935144</v>
      </c>
      <c r="I21" s="34">
        <f>H21/Premissas!$C$21</f>
        <v>137.83912730259763</v>
      </c>
      <c r="J21" s="34">
        <f>I21/Premissas!$C$23</f>
        <v>25.563636369176116</v>
      </c>
      <c r="K21" s="35" t="str">
        <f t="shared" si="1"/>
        <v/>
      </c>
    </row>
    <row r="22" spans="1:11" ht="14.25" customHeight="1" x14ac:dyDescent="0.3">
      <c r="A22" s="12" t="s">
        <v>141</v>
      </c>
      <c r="B22" s="12">
        <f>SUMIFS(EE_ANEEL!$C$5:$C$107,EE_ANEEL!$B$5:$B$107,A22)</f>
        <v>1</v>
      </c>
      <c r="C22" s="34">
        <f>IF(B22=0,$C$33,SUMPRODUCT((EE_ANEEL!$B$5:$B$107=A22)*EE_ANEEL!$C$5:$C$107*EE_ANEEL!$N$5:$N$107)/B22)</f>
        <v>368.29</v>
      </c>
      <c r="D22" s="34">
        <f>IF(B22=0,$D$33,SUMPRODUCT((EE_ANEEL!$B$5:$B$107=A22)*EE_ANEEL!$C$5:$C$107*EE_ANEEL!$O$5:$O$107)/B22)</f>
        <v>24.22</v>
      </c>
      <c r="E22" s="34">
        <f>IF(Premissas!$C$28="SIM",D22*12/(8.76*Premissas!$C$29),0)</f>
        <v>36.864535768645354</v>
      </c>
      <c r="F22" s="34">
        <f t="shared" si="0"/>
        <v>405.15453576864536</v>
      </c>
      <c r="G22" s="23">
        <f>Premissas!$C$26</f>
        <v>0.18</v>
      </c>
      <c r="H22" s="34">
        <f>IF(Premissas!$C$19="COM",F22/(1-G22-Premissas!$C$27),F22)</f>
        <v>526.17472177746151</v>
      </c>
      <c r="I22" s="34">
        <f>H22/Premissas!$C$21</f>
        <v>146.15964493818376</v>
      </c>
      <c r="J22" s="34">
        <f>I22/Premissas!$C$23</f>
        <v>27.106759076072652</v>
      </c>
      <c r="K22" s="35" t="str">
        <f t="shared" si="1"/>
        <v/>
      </c>
    </row>
    <row r="23" spans="1:11" ht="14.25" customHeight="1" x14ac:dyDescent="0.3">
      <c r="A23" s="12" t="s">
        <v>239</v>
      </c>
      <c r="B23" s="12">
        <f>SUMIFS(EE_ANEEL!$C$5:$C$107,EE_ANEEL!$B$5:$B$107,A23)</f>
        <v>2</v>
      </c>
      <c r="C23" s="34">
        <f>IF(B23=0,$C$33,SUMPRODUCT((EE_ANEEL!$B$5:$B$107=A23)*EE_ANEEL!$C$5:$C$107*EE_ANEEL!$N$5:$N$107)/B23)</f>
        <v>462.42500000000001</v>
      </c>
      <c r="D23" s="34">
        <f>IF(B23=0,$D$33,SUMPRODUCT((EE_ANEEL!$B$5:$B$107=A23)*EE_ANEEL!$C$5:$C$107*EE_ANEEL!$O$5:$O$107)/B23)</f>
        <v>32.68</v>
      </c>
      <c r="E23" s="34">
        <f>IF(Premissas!$C$28="SIM",D23*12/(8.76*Premissas!$C$29),0)</f>
        <v>49.741248097412473</v>
      </c>
      <c r="F23" s="34">
        <f t="shared" si="0"/>
        <v>512.16624809741245</v>
      </c>
      <c r="G23" s="23">
        <f>Premissas!$C$26</f>
        <v>0.18</v>
      </c>
      <c r="H23" s="34">
        <f>IF(Premissas!$C$19="COM",F23/(1-G23-Premissas!$C$27),F23)</f>
        <v>665.15097155508113</v>
      </c>
      <c r="I23" s="34">
        <f>H23/Premissas!$C$21</f>
        <v>184.76415876530032</v>
      </c>
      <c r="J23" s="34">
        <f>I23/Premissas!$C$23</f>
        <v>34.266349919380623</v>
      </c>
      <c r="K23" s="35" t="str">
        <f t="shared" si="1"/>
        <v/>
      </c>
    </row>
    <row r="24" spans="1:11" ht="14.25" customHeight="1" x14ac:dyDescent="0.3">
      <c r="A24" s="12" t="s">
        <v>210</v>
      </c>
      <c r="B24" s="12">
        <f>SUMIFS(EE_ANEEL!$C$5:$C$107,EE_ANEEL!$B$5:$B$107,A24)</f>
        <v>1</v>
      </c>
      <c r="C24" s="34">
        <f>IF(B24=0,$C$33,SUMPRODUCT((EE_ANEEL!$B$5:$B$107=A24)*EE_ANEEL!$C$5:$C$107*EE_ANEEL!$N$5:$N$107)/B24)</f>
        <v>388.90999999999997</v>
      </c>
      <c r="D24" s="34">
        <f>IF(B24=0,$D$33,SUMPRODUCT((EE_ANEEL!$B$5:$B$107=A24)*EE_ANEEL!$C$5:$C$107*EE_ANEEL!$O$5:$O$107)/B24)</f>
        <v>31.3</v>
      </c>
      <c r="E24" s="34">
        <f>IF(Premissas!$C$28="SIM",D24*12/(8.76*Premissas!$C$29),0)</f>
        <v>47.640791476407912</v>
      </c>
      <c r="F24" s="34">
        <f t="shared" si="0"/>
        <v>436.55079147640788</v>
      </c>
      <c r="G24" s="23">
        <f>Premissas!$C$26</f>
        <v>0.18</v>
      </c>
      <c r="H24" s="34">
        <f>IF(Premissas!$C$19="COM",F24/(1-G24-Premissas!$C$27),F24)</f>
        <v>566.94907983949076</v>
      </c>
      <c r="I24" s="34">
        <f>H24/Premissas!$C$21</f>
        <v>157.48585551096966</v>
      </c>
      <c r="J24" s="34">
        <f>I24/Premissas!$C$23</f>
        <v>29.207317416722859</v>
      </c>
      <c r="K24" s="35" t="str">
        <f t="shared" si="1"/>
        <v/>
      </c>
    </row>
    <row r="25" spans="1:11" ht="14.25" customHeight="1" x14ac:dyDescent="0.3">
      <c r="A25" s="12" t="s">
        <v>252</v>
      </c>
      <c r="B25" s="12">
        <f>SUMIFS(EE_ANEEL!$C$5:$C$107,EE_ANEEL!$B$5:$B$107,A25)</f>
        <v>1</v>
      </c>
      <c r="C25" s="34">
        <f>IF(B25=0,$C$33,SUMPRODUCT((EE_ANEEL!$B$5:$B$107=A25)*EE_ANEEL!$C$5:$C$107*EE_ANEEL!$N$5:$N$107)/B25)</f>
        <v>325.61</v>
      </c>
      <c r="D25" s="34">
        <f>IF(B25=0,$D$33,SUMPRODUCT((EE_ANEEL!$B$5:$B$107=A25)*EE_ANEEL!$C$5:$C$107*EE_ANEEL!$O$5:$O$107)/B25)</f>
        <v>31.24</v>
      </c>
      <c r="E25" s="34">
        <f>IF(Premissas!$C$28="SIM",D25*12/(8.76*Premissas!$C$29),0)</f>
        <v>47.549467275494671</v>
      </c>
      <c r="F25" s="34">
        <f t="shared" si="0"/>
        <v>373.15946727549471</v>
      </c>
      <c r="G25" s="23">
        <f>Premissas!$C$26</f>
        <v>0.18</v>
      </c>
      <c r="H25" s="34">
        <f>IF(Premissas!$C$19="COM",F25/(1-G25-Premissas!$C$27),F25)</f>
        <v>484.62268477336971</v>
      </c>
      <c r="I25" s="34">
        <f>H25/Premissas!$C$21</f>
        <v>134.61741243704714</v>
      </c>
      <c r="J25" s="34">
        <f>I25/Premissas!$C$23</f>
        <v>24.966137321410816</v>
      </c>
      <c r="K25" s="35" t="str">
        <f t="shared" si="1"/>
        <v/>
      </c>
    </row>
    <row r="26" spans="1:11" ht="14.25" customHeight="1" x14ac:dyDescent="0.3">
      <c r="A26" s="12" t="s">
        <v>271</v>
      </c>
      <c r="B26" s="12">
        <f>SUMIFS(EE_ANEEL!$C$5:$C$107,EE_ANEEL!$B$5:$B$107,A26)</f>
        <v>1</v>
      </c>
      <c r="C26" s="34">
        <f>IF(B26=0,$C$33,SUMPRODUCT((EE_ANEEL!$B$5:$B$107=A26)*EE_ANEEL!$C$5:$C$107*EE_ANEEL!$N$5:$N$107)/B26)</f>
        <v>400.8</v>
      </c>
      <c r="D26" s="34">
        <f>IF(B26=0,$D$33,SUMPRODUCT((EE_ANEEL!$B$5:$B$107=A26)*EE_ANEEL!$C$5:$C$107*EE_ANEEL!$O$5:$O$107)/B26)</f>
        <v>16.78</v>
      </c>
      <c r="E26" s="34">
        <f>IF(Premissas!$C$28="SIM",D26*12/(8.76*Premissas!$C$29),0)</f>
        <v>25.540334855403348</v>
      </c>
      <c r="F26" s="34">
        <f t="shared" si="0"/>
        <v>426.34033485540334</v>
      </c>
      <c r="G26" s="23">
        <f>Premissas!$C$26</f>
        <v>0.18</v>
      </c>
      <c r="H26" s="34">
        <f>IF(Premissas!$C$19="COM",F26/(1-G26-Premissas!$C$27),F26)</f>
        <v>553.68874656545893</v>
      </c>
      <c r="I26" s="34">
        <f>H26/Premissas!$C$21</f>
        <v>153.80242960151637</v>
      </c>
      <c r="J26" s="34">
        <f>I26/Premissas!$C$23</f>
        <v>28.524189466156596</v>
      </c>
      <c r="K26" s="35" t="str">
        <f t="shared" si="1"/>
        <v/>
      </c>
    </row>
    <row r="27" spans="1:11" ht="14.25" customHeight="1" x14ac:dyDescent="0.3">
      <c r="A27" s="12" t="s">
        <v>151</v>
      </c>
      <c r="B27" s="12">
        <f>SUMIFS(EE_ANEEL!$C$5:$C$107,EE_ANEEL!$B$5:$B$107,A27)</f>
        <v>2</v>
      </c>
      <c r="C27" s="34">
        <f>IF(B27=0,$C$33,SUMPRODUCT((EE_ANEEL!$B$5:$B$107=A27)*EE_ANEEL!$C$5:$C$107*EE_ANEEL!$N$5:$N$107)/B27)</f>
        <v>370.71000000000004</v>
      </c>
      <c r="D27" s="34">
        <f>IF(B27=0,$D$33,SUMPRODUCT((EE_ANEEL!$B$5:$B$107=A27)*EE_ANEEL!$C$5:$C$107*EE_ANEEL!$O$5:$O$107)/B27)</f>
        <v>28.494999999999997</v>
      </c>
      <c r="E27" s="34">
        <f>IF(Premissas!$C$28="SIM",D27*12/(8.76*Premissas!$C$29),0)</f>
        <v>43.371385083713839</v>
      </c>
      <c r="F27" s="34">
        <f t="shared" si="0"/>
        <v>414.08138508371388</v>
      </c>
      <c r="G27" s="23">
        <f>Premissas!$C$26</f>
        <v>0.18</v>
      </c>
      <c r="H27" s="34">
        <f>IF(Premissas!$C$19="COM",F27/(1-G27-Premissas!$C$27),F27)</f>
        <v>537.76803257625181</v>
      </c>
      <c r="I27" s="34">
        <f>H27/Premissas!$C$21</f>
        <v>149.38000904895884</v>
      </c>
      <c r="J27" s="34">
        <f>I27/Premissas!$C$23</f>
        <v>27.704007612937467</v>
      </c>
      <c r="K27" s="35" t="str">
        <f t="shared" si="1"/>
        <v/>
      </c>
    </row>
    <row r="28" spans="1:11" ht="14.25" customHeight="1" x14ac:dyDescent="0.3">
      <c r="A28" s="12" t="s">
        <v>155</v>
      </c>
      <c r="B28" s="12">
        <f>SUMIFS(EE_ANEEL!$C$5:$C$107,EE_ANEEL!$B$5:$B$107,A28)</f>
        <v>1</v>
      </c>
      <c r="C28" s="34">
        <f>IF(B28=0,$C$33,SUMPRODUCT((EE_ANEEL!$B$5:$B$107=A28)*EE_ANEEL!$C$5:$C$107*EE_ANEEL!$N$5:$N$107)/B28)</f>
        <v>393.33000000000004</v>
      </c>
      <c r="D28" s="34">
        <f>IF(B28=0,$D$33,SUMPRODUCT((EE_ANEEL!$B$5:$B$107=A28)*EE_ANEEL!$C$5:$C$107*EE_ANEEL!$O$5:$O$107)/B28)</f>
        <v>17.71</v>
      </c>
      <c r="E28" s="34">
        <f>IF(Premissas!$C$28="SIM",D28*12/(8.76*Premissas!$C$29),0)</f>
        <v>26.955859969558599</v>
      </c>
      <c r="F28" s="34">
        <f t="shared" si="0"/>
        <v>420.28585996955866</v>
      </c>
      <c r="G28" s="23">
        <f>Premissas!$C$26</f>
        <v>0.18</v>
      </c>
      <c r="H28" s="34">
        <f>IF(Premissas!$C$19="COM",F28/(1-G28-Premissas!$C$27),F28)</f>
        <v>545.82579216825798</v>
      </c>
      <c r="I28" s="34">
        <f>H28/Premissas!$C$21</f>
        <v>151.61827560229389</v>
      </c>
      <c r="J28" s="34">
        <f>I28/Premissas!$C$23</f>
        <v>28.119116395084177</v>
      </c>
      <c r="K28" s="35" t="str">
        <f t="shared" si="1"/>
        <v/>
      </c>
    </row>
    <row r="29" spans="1:11" ht="14.25" customHeight="1" x14ac:dyDescent="0.3">
      <c r="A29" s="12" t="s">
        <v>254</v>
      </c>
      <c r="B29" s="12">
        <f>SUMIFS(EE_ANEEL!$C$5:$C$107,EE_ANEEL!$B$5:$B$107,A29)</f>
        <v>1</v>
      </c>
      <c r="C29" s="34">
        <f>IF(B29=0,$C$33,SUMPRODUCT((EE_ANEEL!$B$5:$B$107=A29)*EE_ANEEL!$C$5:$C$107*EE_ANEEL!$N$5:$N$107)/B29)</f>
        <v>326.99</v>
      </c>
      <c r="D29" s="34">
        <f>IF(B29=0,$D$33,SUMPRODUCT((EE_ANEEL!$B$5:$B$107=A29)*EE_ANEEL!$C$5:$C$107*EE_ANEEL!$O$5:$O$107)/B29)</f>
        <v>22.8</v>
      </c>
      <c r="E29" s="34">
        <f>IF(Premissas!$C$28="SIM",D29*12/(8.76*Premissas!$C$29),0)</f>
        <v>34.703196347031962</v>
      </c>
      <c r="F29" s="34">
        <f t="shared" si="0"/>
        <v>361.69319634703197</v>
      </c>
      <c r="G29" s="23">
        <f>Premissas!$C$26</f>
        <v>0.18</v>
      </c>
      <c r="H29" s="34">
        <f>IF(Premissas!$C$19="COM",F29/(1-G29-Premissas!$C$27),F29)</f>
        <v>469.73142382731425</v>
      </c>
      <c r="I29" s="34">
        <f>H29/Premissas!$C$21</f>
        <v>130.48095106314284</v>
      </c>
      <c r="J29" s="34">
        <f>I29/Premissas!$C$23</f>
        <v>24.198989440493847</v>
      </c>
      <c r="K29" s="35" t="str">
        <f t="shared" si="1"/>
        <v/>
      </c>
    </row>
    <row r="30" spans="1:11" ht="14.25" customHeight="1" x14ac:dyDescent="0.3">
      <c r="A30" s="12" t="s">
        <v>212</v>
      </c>
      <c r="B30" s="12">
        <f>SUMIFS(EE_ANEEL!$C$5:$C$107,EE_ANEEL!$B$5:$B$107,A30)</f>
        <v>5</v>
      </c>
      <c r="C30" s="34">
        <f>IF(B30=0,$C$33,SUMPRODUCT((EE_ANEEL!$B$5:$B$107=A30)*EE_ANEEL!$C$5:$C$107*EE_ANEEL!$N$5:$N$107)/B30)</f>
        <v>382.29399999999998</v>
      </c>
      <c r="D30" s="34">
        <f>IF(B30=0,$D$33,SUMPRODUCT((EE_ANEEL!$B$5:$B$107=A30)*EE_ANEEL!$C$5:$C$107*EE_ANEEL!$O$5:$O$107)/B30)</f>
        <v>17.885999999999999</v>
      </c>
      <c r="E30" s="34">
        <f>IF(Premissas!$C$28="SIM",D30*12/(8.76*Premissas!$C$29),0)</f>
        <v>27.223744292237441</v>
      </c>
      <c r="F30" s="34">
        <f t="shared" si="0"/>
        <v>409.51774429223741</v>
      </c>
      <c r="G30" s="23">
        <f>Premissas!$C$26</f>
        <v>0.18</v>
      </c>
      <c r="H30" s="34">
        <f>IF(Premissas!$C$19="COM",F30/(1-G30-Premissas!$C$27),F30)</f>
        <v>531.84122635355504</v>
      </c>
      <c r="I30" s="34">
        <f>H30/Premissas!$C$21</f>
        <v>147.73367398709863</v>
      </c>
      <c r="J30" s="34">
        <f>I30/Premissas!$C$23</f>
        <v>27.398678410070218</v>
      </c>
      <c r="K30" s="35" t="str">
        <f t="shared" si="1"/>
        <v/>
      </c>
    </row>
    <row r="31" spans="1:11" ht="14.25" customHeight="1" x14ac:dyDescent="0.3">
      <c r="A31" s="12" t="s">
        <v>257</v>
      </c>
      <c r="B31" s="12">
        <f>SUMIFS(EE_ANEEL!$C$5:$C$107,EE_ANEEL!$B$5:$B$107,A31)</f>
        <v>1</v>
      </c>
      <c r="C31" s="34">
        <f>IF(B31=0,$C$33,SUMPRODUCT((EE_ANEEL!$B$5:$B$107=A31)*EE_ANEEL!$C$5:$C$107*EE_ANEEL!$N$5:$N$107)/B31)</f>
        <v>325.15000000000003</v>
      </c>
      <c r="D31" s="34">
        <f>IF(B31=0,$D$33,SUMPRODUCT((EE_ANEEL!$B$5:$B$107=A31)*EE_ANEEL!$C$5:$C$107*EE_ANEEL!$O$5:$O$107)/B31)</f>
        <v>46.35</v>
      </c>
      <c r="E31" s="34">
        <f>IF(Premissas!$C$28="SIM",D31*12/(8.76*Premissas!$C$29),0)</f>
        <v>70.547945205479451</v>
      </c>
      <c r="F31" s="34">
        <f t="shared" si="0"/>
        <v>395.69794520547947</v>
      </c>
      <c r="G31" s="23">
        <f>Premissas!$C$26</f>
        <v>0.18</v>
      </c>
      <c r="H31" s="34">
        <f>IF(Premissas!$C$19="COM",F31/(1-G31-Premissas!$C$27),F31)</f>
        <v>513.89343533179147</v>
      </c>
      <c r="I31" s="34">
        <f>H31/Premissas!$C$21</f>
        <v>142.74817648105318</v>
      </c>
      <c r="J31" s="34">
        <f>I31/Premissas!$C$23</f>
        <v>26.474068338474254</v>
      </c>
      <c r="K31" s="35" t="str">
        <f t="shared" si="1"/>
        <v/>
      </c>
    </row>
    <row r="33" spans="2:4" ht="14.25" customHeight="1" x14ac:dyDescent="0.3">
      <c r="B33" s="36" t="s">
        <v>286</v>
      </c>
      <c r="C33" s="34">
        <f>SUMPRODUCT(EE_ANEEL!$C$5:$C$107,EE_ANEEL!$N$5:$N$107)/SUM(EE_ANEEL!$C$5:$C$107)</f>
        <v>385.36909090909091</v>
      </c>
      <c r="D33" s="34">
        <f>SUMPRODUCT(EE_ANEEL!$C$5:$C$107,EE_ANEEL!$O$5:$O$107)/SUM(EE_ANEEL!$C$5:$C$107)</f>
        <v>27.093636363636357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zoomScaleNormal="100" workbookViewId="0">
      <pane ySplit="4" topLeftCell="A5" activePane="bottomLeft" state="frozen"/>
      <selection pane="bottomLeft" activeCell="L9" sqref="L9"/>
    </sheetView>
  </sheetViews>
  <sheetFormatPr defaultColWidth="8.6640625" defaultRowHeight="14.4" x14ac:dyDescent="0.3"/>
  <cols>
    <col min="1" max="1" width="18" customWidth="1"/>
    <col min="2" max="2" width="7" customWidth="1"/>
    <col min="3" max="3" width="13" customWidth="1"/>
    <col min="4" max="7" width="11" customWidth="1"/>
    <col min="8" max="8" width="13" customWidth="1"/>
    <col min="9" max="9" width="16" customWidth="1"/>
  </cols>
  <sheetData>
    <row r="1" spans="1:9" ht="17.25" customHeight="1" x14ac:dyDescent="0.3">
      <c r="A1" s="8" t="s">
        <v>287</v>
      </c>
    </row>
    <row r="2" spans="1:9" ht="14.25" customHeight="1" x14ac:dyDescent="0.3">
      <c r="A2" s="25" t="s">
        <v>288</v>
      </c>
    </row>
    <row r="4" spans="1:9" ht="26.25" customHeight="1" x14ac:dyDescent="0.3">
      <c r="A4" s="32" t="s">
        <v>289</v>
      </c>
      <c r="B4" s="32" t="s">
        <v>126</v>
      </c>
      <c r="C4" s="32" t="s">
        <v>290</v>
      </c>
      <c r="D4" s="32" t="s">
        <v>291</v>
      </c>
      <c r="E4" s="32" t="s">
        <v>292</v>
      </c>
      <c r="F4" s="32" t="s">
        <v>293</v>
      </c>
      <c r="G4" s="32" t="s">
        <v>294</v>
      </c>
      <c r="H4" s="32" t="s">
        <v>295</v>
      </c>
      <c r="I4" s="32" t="s">
        <v>296</v>
      </c>
    </row>
    <row r="5" spans="1:9" ht="14.25" customHeight="1" x14ac:dyDescent="0.3">
      <c r="A5" s="12" t="s">
        <v>297</v>
      </c>
      <c r="B5" s="12" t="s">
        <v>243</v>
      </c>
      <c r="C5" s="12" t="s">
        <v>298</v>
      </c>
      <c r="D5" s="37">
        <v>18.899999999999999</v>
      </c>
      <c r="E5" s="37">
        <v>16.899999999999999</v>
      </c>
      <c r="F5" s="37">
        <v>15.8</v>
      </c>
      <c r="G5" s="37">
        <v>16</v>
      </c>
      <c r="H5" s="38">
        <f>IF(Premissas!$C$6=2022,D5,IF(Premissas!$C$6=2023,E5,IF(Premissas!$C$6=2024,F5,AVERAGE(D5:F5))))</f>
        <v>15.8</v>
      </c>
      <c r="I5" s="39">
        <f t="shared" ref="I5:I23" si="0">H5/$C$29</f>
        <v>0.94272076372315028</v>
      </c>
    </row>
    <row r="6" spans="1:9" ht="14.25" customHeight="1" x14ac:dyDescent="0.3">
      <c r="A6" s="12" t="s">
        <v>299</v>
      </c>
      <c r="B6" s="12" t="s">
        <v>197</v>
      </c>
      <c r="C6" s="12" t="s">
        <v>298</v>
      </c>
      <c r="D6" s="37">
        <v>18.2</v>
      </c>
      <c r="E6" s="37">
        <v>17</v>
      </c>
      <c r="F6" s="37">
        <v>13.3</v>
      </c>
      <c r="G6" s="37">
        <v>15.7</v>
      </c>
      <c r="H6" s="38">
        <f>IF(Premissas!$C$6=2022,D6,IF(Premissas!$C$6=2023,E6,IF(Premissas!$C$6=2024,F6,AVERAGE(D6:F6))))</f>
        <v>13.3</v>
      </c>
      <c r="I6" s="39">
        <f t="shared" si="0"/>
        <v>0.7935560859188544</v>
      </c>
    </row>
    <row r="7" spans="1:9" ht="14.25" customHeight="1" x14ac:dyDescent="0.3">
      <c r="A7" s="12" t="s">
        <v>300</v>
      </c>
      <c r="B7" s="12" t="s">
        <v>223</v>
      </c>
      <c r="C7" s="12" t="s">
        <v>301</v>
      </c>
      <c r="D7" s="37">
        <v>21.7</v>
      </c>
      <c r="E7" s="37">
        <v>21.8</v>
      </c>
      <c r="F7" s="37">
        <v>16.600000000000001</v>
      </c>
      <c r="G7" s="37">
        <v>18.8</v>
      </c>
      <c r="H7" s="38">
        <f>IF(Premissas!$C$6=2022,D7,IF(Premissas!$C$6=2023,E7,IF(Premissas!$C$6=2024,F7,AVERAGE(D7:F7))))</f>
        <v>16.600000000000001</v>
      </c>
      <c r="I7" s="39">
        <f t="shared" si="0"/>
        <v>0.99045346062052508</v>
      </c>
    </row>
    <row r="8" spans="1:9" ht="14.25" customHeight="1" x14ac:dyDescent="0.3">
      <c r="A8" s="12" t="s">
        <v>302</v>
      </c>
      <c r="B8" s="12" t="s">
        <v>239</v>
      </c>
      <c r="C8" s="12" t="s">
        <v>301</v>
      </c>
      <c r="D8" s="37">
        <v>22.2</v>
      </c>
      <c r="E8" s="37">
        <v>21.8</v>
      </c>
      <c r="F8" s="37">
        <v>18.7</v>
      </c>
      <c r="G8" s="37">
        <v>20.7</v>
      </c>
      <c r="H8" s="38">
        <f>IF(Premissas!$C$6=2022,D8,IF(Premissas!$C$6=2023,E8,IF(Premissas!$C$6=2024,F8,AVERAGE(D8:F8))))</f>
        <v>18.7</v>
      </c>
      <c r="I8" s="39">
        <f t="shared" si="0"/>
        <v>1.1157517899761336</v>
      </c>
    </row>
    <row r="9" spans="1:9" ht="14.25" customHeight="1" x14ac:dyDescent="0.3">
      <c r="A9" s="12" t="s">
        <v>303</v>
      </c>
      <c r="B9" s="12" t="s">
        <v>239</v>
      </c>
      <c r="C9" s="12" t="s">
        <v>301</v>
      </c>
      <c r="D9" s="37">
        <v>21.1</v>
      </c>
      <c r="E9" s="37">
        <v>19.8</v>
      </c>
      <c r="F9" s="37">
        <v>17.5</v>
      </c>
      <c r="G9" s="37">
        <v>19.3</v>
      </c>
      <c r="H9" s="38">
        <f>IF(Premissas!$C$6=2022,D9,IF(Premissas!$C$6=2023,E9,IF(Premissas!$C$6=2024,F9,AVERAGE(D9:F9))))</f>
        <v>17.5</v>
      </c>
      <c r="I9" s="39">
        <f t="shared" si="0"/>
        <v>1.0441527446300716</v>
      </c>
    </row>
    <row r="10" spans="1:9" ht="14.25" customHeight="1" x14ac:dyDescent="0.3">
      <c r="A10" s="12" t="s">
        <v>304</v>
      </c>
      <c r="B10" s="12" t="s">
        <v>237</v>
      </c>
      <c r="C10" s="12" t="s">
        <v>298</v>
      </c>
      <c r="D10" s="37">
        <v>23.4</v>
      </c>
      <c r="E10" s="37">
        <v>23.8</v>
      </c>
      <c r="F10" s="37">
        <v>18.7</v>
      </c>
      <c r="G10" s="37">
        <v>19.899999999999999</v>
      </c>
      <c r="H10" s="38">
        <f>IF(Premissas!$C$6=2022,D10,IF(Premissas!$C$6=2023,E10,IF(Premissas!$C$6=2024,F10,AVERAGE(D10:F10))))</f>
        <v>18.7</v>
      </c>
      <c r="I10" s="39">
        <f t="shared" si="0"/>
        <v>1.1157517899761336</v>
      </c>
    </row>
    <row r="11" spans="1:9" ht="14.25" customHeight="1" x14ac:dyDescent="0.3">
      <c r="A11" s="12" t="s">
        <v>305</v>
      </c>
      <c r="B11" s="12" t="s">
        <v>212</v>
      </c>
      <c r="C11" s="12" t="s">
        <v>301</v>
      </c>
      <c r="D11" s="37">
        <v>25</v>
      </c>
      <c r="E11" s="37">
        <v>20.100000000000001</v>
      </c>
      <c r="F11" s="37">
        <v>17.7</v>
      </c>
      <c r="G11" s="37">
        <v>17.899999999999999</v>
      </c>
      <c r="H11" s="38">
        <f>IF(Premissas!$C$6=2022,D11,IF(Premissas!$C$6=2023,E11,IF(Premissas!$C$6=2024,F11,AVERAGE(D11:F11))))</f>
        <v>17.7</v>
      </c>
      <c r="I11" s="39">
        <f t="shared" si="0"/>
        <v>1.0560859188544152</v>
      </c>
    </row>
    <row r="12" spans="1:9" ht="14.25" customHeight="1" x14ac:dyDescent="0.3">
      <c r="A12" s="12" t="s">
        <v>306</v>
      </c>
      <c r="B12" s="12" t="s">
        <v>264</v>
      </c>
      <c r="C12" s="12" t="s">
        <v>298</v>
      </c>
      <c r="D12" s="37">
        <v>18.899999999999999</v>
      </c>
      <c r="E12" s="37">
        <v>18.100000000000001</v>
      </c>
      <c r="F12" s="37">
        <v>16.5</v>
      </c>
      <c r="G12" s="37">
        <v>17.399999999999999</v>
      </c>
      <c r="H12" s="38">
        <f>IF(Premissas!$C$6=2022,D12,IF(Premissas!$C$6=2023,E12,IF(Premissas!$C$6=2024,F12,AVERAGE(D12:F12))))</f>
        <v>16.5</v>
      </c>
      <c r="I12" s="39">
        <f t="shared" si="0"/>
        <v>0.98448687350835318</v>
      </c>
    </row>
    <row r="13" spans="1:9" ht="14.25" customHeight="1" x14ac:dyDescent="0.3">
      <c r="A13" s="12" t="s">
        <v>307</v>
      </c>
      <c r="B13" s="12" t="s">
        <v>241</v>
      </c>
      <c r="C13" s="12" t="s">
        <v>298</v>
      </c>
      <c r="D13" s="37">
        <v>20.2</v>
      </c>
      <c r="E13" s="37">
        <v>19.5</v>
      </c>
      <c r="F13" s="37">
        <v>17.600000000000001</v>
      </c>
      <c r="G13" s="37">
        <v>19</v>
      </c>
      <c r="H13" s="38">
        <f>IF(Premissas!$C$6=2022,D13,IF(Premissas!$C$6=2023,E13,IF(Premissas!$C$6=2024,F13,AVERAGE(D13:F13))))</f>
        <v>17.600000000000001</v>
      </c>
      <c r="I13" s="39">
        <f t="shared" si="0"/>
        <v>1.0501193317422435</v>
      </c>
    </row>
    <row r="14" spans="1:9" ht="14.25" customHeight="1" x14ac:dyDescent="0.3">
      <c r="A14" s="12" t="s">
        <v>308</v>
      </c>
      <c r="B14" s="12" t="s">
        <v>210</v>
      </c>
      <c r="C14" s="12" t="s">
        <v>298</v>
      </c>
      <c r="D14" s="37">
        <v>16.399999999999999</v>
      </c>
      <c r="E14" s="37">
        <v>18.600000000000001</v>
      </c>
      <c r="F14" s="37">
        <v>17.7</v>
      </c>
      <c r="G14" s="37">
        <v>21.2</v>
      </c>
      <c r="H14" s="38">
        <f>IF(Premissas!$C$6=2022,D14,IF(Premissas!$C$6=2023,E14,IF(Premissas!$C$6=2024,F14,AVERAGE(D14:F14))))</f>
        <v>17.7</v>
      </c>
      <c r="I14" s="39">
        <f t="shared" si="0"/>
        <v>1.0560859188544152</v>
      </c>
    </row>
    <row r="15" spans="1:9" ht="14.25" customHeight="1" x14ac:dyDescent="0.3">
      <c r="A15" s="12" t="s">
        <v>309</v>
      </c>
      <c r="B15" s="12" t="s">
        <v>254</v>
      </c>
      <c r="C15" s="12" t="s">
        <v>298</v>
      </c>
      <c r="D15" s="37">
        <v>17.899999999999999</v>
      </c>
      <c r="E15" s="37">
        <v>19.3</v>
      </c>
      <c r="F15" s="37">
        <v>17.399999999999999</v>
      </c>
      <c r="G15" s="37">
        <v>18.7</v>
      </c>
      <c r="H15" s="38">
        <f>IF(Premissas!$C$6=2022,D15,IF(Premissas!$C$6=2023,E15,IF(Premissas!$C$6=2024,F15,AVERAGE(D15:F15))))</f>
        <v>17.399999999999999</v>
      </c>
      <c r="I15" s="39">
        <f t="shared" si="0"/>
        <v>1.0381861575178997</v>
      </c>
    </row>
    <row r="16" spans="1:9" ht="14.25" customHeight="1" x14ac:dyDescent="0.3">
      <c r="A16" s="12" t="s">
        <v>310</v>
      </c>
      <c r="B16" s="12" t="s">
        <v>158</v>
      </c>
      <c r="C16" s="12" t="s">
        <v>301</v>
      </c>
      <c r="D16" s="37">
        <v>24</v>
      </c>
      <c r="E16" s="37">
        <v>22.8</v>
      </c>
      <c r="F16" s="37">
        <v>15.5</v>
      </c>
      <c r="G16" s="37">
        <v>17.399999999999999</v>
      </c>
      <c r="H16" s="38">
        <f>IF(Premissas!$C$6=2022,D16,IF(Premissas!$C$6=2023,E16,IF(Premissas!$C$6=2024,F16,AVERAGE(D16:F16))))</f>
        <v>15.5</v>
      </c>
      <c r="I16" s="39">
        <f t="shared" si="0"/>
        <v>0.92482100238663478</v>
      </c>
    </row>
    <row r="17" spans="1:9" ht="14.25" customHeight="1" x14ac:dyDescent="0.3">
      <c r="A17" s="12" t="s">
        <v>311</v>
      </c>
      <c r="B17" s="12" t="s">
        <v>212</v>
      </c>
      <c r="C17" s="12" t="s">
        <v>301</v>
      </c>
      <c r="D17" s="37">
        <v>23.8</v>
      </c>
      <c r="E17" s="37">
        <v>22.9</v>
      </c>
      <c r="F17" s="37">
        <v>18.5</v>
      </c>
      <c r="G17" s="37">
        <v>18</v>
      </c>
      <c r="H17" s="38">
        <f>IF(Premissas!$C$6=2022,D17,IF(Premissas!$C$6=2023,E17,IF(Premissas!$C$6=2024,F17,AVERAGE(D17:F17))))</f>
        <v>18.5</v>
      </c>
      <c r="I17" s="39">
        <f t="shared" si="0"/>
        <v>1.10381861575179</v>
      </c>
    </row>
    <row r="18" spans="1:9" ht="14.25" customHeight="1" x14ac:dyDescent="0.3">
      <c r="A18" s="12" t="s">
        <v>312</v>
      </c>
      <c r="B18" s="12" t="s">
        <v>212</v>
      </c>
      <c r="C18" s="12" t="s">
        <v>301</v>
      </c>
      <c r="D18" s="37">
        <v>8.3000000000000007</v>
      </c>
      <c r="E18" s="37">
        <v>17.8</v>
      </c>
      <c r="F18" s="37">
        <v>14.6</v>
      </c>
      <c r="G18" s="37">
        <v>39.5</v>
      </c>
      <c r="H18" s="38">
        <f>IF(Premissas!$C$6=2022,D18,IF(Premissas!$C$6=2023,E18,IF(Premissas!$C$6=2024,F18,AVERAGE(D18:F18))))</f>
        <v>14.6</v>
      </c>
      <c r="I18" s="39">
        <f t="shared" si="0"/>
        <v>0.87112171837708818</v>
      </c>
    </row>
    <row r="19" spans="1:9" ht="14.25" customHeight="1" x14ac:dyDescent="0.3">
      <c r="A19" s="12" t="s">
        <v>313</v>
      </c>
      <c r="B19" s="12" t="s">
        <v>141</v>
      </c>
      <c r="C19" s="12" t="s">
        <v>314</v>
      </c>
      <c r="D19" s="37">
        <v>29.9</v>
      </c>
      <c r="E19" s="37">
        <v>24.5</v>
      </c>
      <c r="F19" s="37">
        <v>16.899999999999999</v>
      </c>
      <c r="G19" s="37">
        <v>18.5</v>
      </c>
      <c r="H19" s="38">
        <f>IF(Premissas!$C$6=2022,D19,IF(Premissas!$C$6=2023,E19,IF(Premissas!$C$6=2024,F19,AVERAGE(D19:F19))))</f>
        <v>16.899999999999999</v>
      </c>
      <c r="I19" s="39">
        <f t="shared" si="0"/>
        <v>1.0083532219570404</v>
      </c>
    </row>
    <row r="20" spans="1:9" ht="14.25" customHeight="1" x14ac:dyDescent="0.3">
      <c r="A20" s="12" t="s">
        <v>315</v>
      </c>
      <c r="B20" s="12" t="s">
        <v>233</v>
      </c>
      <c r="C20" s="12" t="s">
        <v>316</v>
      </c>
      <c r="D20" s="37">
        <v>22.5</v>
      </c>
      <c r="E20" s="37">
        <v>21.2</v>
      </c>
      <c r="F20" s="37">
        <v>16.7</v>
      </c>
      <c r="G20" s="37">
        <v>17.399999999999999</v>
      </c>
      <c r="H20" s="38">
        <f>IF(Premissas!$C$6=2022,D20,IF(Premissas!$C$6=2023,E20,IF(Premissas!$C$6=2024,F20,AVERAGE(D20:F20))))</f>
        <v>16.7</v>
      </c>
      <c r="I20" s="39">
        <f t="shared" si="0"/>
        <v>0.99642004773269677</v>
      </c>
    </row>
    <row r="21" spans="1:9" ht="14.25" customHeight="1" x14ac:dyDescent="0.3">
      <c r="A21" s="12" t="s">
        <v>317</v>
      </c>
      <c r="B21" s="12" t="s">
        <v>155</v>
      </c>
      <c r="C21" s="12" t="s">
        <v>314</v>
      </c>
      <c r="D21" s="37">
        <v>26.4</v>
      </c>
      <c r="E21" s="37">
        <v>21.9</v>
      </c>
      <c r="F21" s="37">
        <v>16.8</v>
      </c>
      <c r="G21" s="37">
        <v>18.7</v>
      </c>
      <c r="H21" s="38">
        <f>IF(Premissas!$C$6=2022,D21,IF(Premissas!$C$6=2023,E21,IF(Premissas!$C$6=2024,F21,AVERAGE(D21:F21))))</f>
        <v>16.8</v>
      </c>
      <c r="I21" s="39">
        <f t="shared" si="0"/>
        <v>1.0023866348448687</v>
      </c>
    </row>
    <row r="22" spans="1:9" ht="14.25" customHeight="1" x14ac:dyDescent="0.3">
      <c r="A22" s="12" t="s">
        <v>318</v>
      </c>
      <c r="B22" s="12" t="s">
        <v>151</v>
      </c>
      <c r="C22" s="12" t="s">
        <v>314</v>
      </c>
      <c r="D22" s="37">
        <v>26.3</v>
      </c>
      <c r="E22" s="37">
        <v>20.8</v>
      </c>
      <c r="F22" s="37">
        <v>18.100000000000001</v>
      </c>
      <c r="G22" s="37">
        <v>21.2</v>
      </c>
      <c r="H22" s="38">
        <f>IF(Premissas!$C$6=2022,D22,IF(Premissas!$C$6=2023,E22,IF(Premissas!$C$6=2024,F22,AVERAGE(D22:F22))))</f>
        <v>18.100000000000001</v>
      </c>
      <c r="I22" s="39">
        <f t="shared" si="0"/>
        <v>1.0799522673031026</v>
      </c>
    </row>
    <row r="23" spans="1:9" ht="14.25" customHeight="1" x14ac:dyDescent="0.3">
      <c r="A23" s="12" t="s">
        <v>319</v>
      </c>
      <c r="B23" s="12" t="s">
        <v>273</v>
      </c>
      <c r="C23" s="12" t="s">
        <v>320</v>
      </c>
      <c r="D23" s="37">
        <v>13.7</v>
      </c>
      <c r="E23" s="37">
        <v>15.6</v>
      </c>
      <c r="F23" s="37">
        <v>14.1</v>
      </c>
      <c r="G23" s="37">
        <v>14.3</v>
      </c>
      <c r="H23" s="38">
        <f>IF(Premissas!$C$6=2022,D23,IF(Premissas!$C$6=2023,E23,IF(Premissas!$C$6=2024,F23,AVERAGE(D23:F23))))</f>
        <v>14.1</v>
      </c>
      <c r="I23" s="39">
        <f t="shared" si="0"/>
        <v>0.84128878281622899</v>
      </c>
    </row>
    <row r="26" spans="1:9" ht="14.25" customHeight="1" x14ac:dyDescent="0.3">
      <c r="A26" s="36" t="s">
        <v>321</v>
      </c>
    </row>
    <row r="27" spans="1:9" ht="14.25" customHeight="1" x14ac:dyDescent="0.3">
      <c r="A27" s="12" t="s">
        <v>322</v>
      </c>
      <c r="C27" s="38">
        <f>AVERAGE(H5:H23)</f>
        <v>16.773684210526319</v>
      </c>
    </row>
    <row r="28" spans="1:9" ht="14.25" customHeight="1" x14ac:dyDescent="0.3">
      <c r="A28" s="12" t="s">
        <v>323</v>
      </c>
      <c r="D28" s="40">
        <v>20.98</v>
      </c>
      <c r="E28" s="40">
        <v>20.22</v>
      </c>
      <c r="F28" s="40">
        <v>16.760000000000002</v>
      </c>
      <c r="G28" s="40">
        <v>19.440000000000001</v>
      </c>
    </row>
    <row r="29" spans="1:9" ht="14.25" customHeight="1" x14ac:dyDescent="0.3">
      <c r="A29" s="12" t="s">
        <v>324</v>
      </c>
      <c r="C29" s="38">
        <f>IF(Premissas!$C$6=2022,D28,IF(Premissas!$C$6=2023,E28,IF(Premissas!$C$6=2024,F28,AVERAGE(D28:F28))))</f>
        <v>16.760000000000002</v>
      </c>
    </row>
    <row r="30" spans="1:9" ht="14.25" customHeight="1" x14ac:dyDescent="0.3">
      <c r="A30" s="12" t="s">
        <v>325</v>
      </c>
      <c r="C30" s="39">
        <f>C27-C29</f>
        <v>1.3684210526317742E-2</v>
      </c>
      <c r="E30" s="41" t="s">
        <v>326</v>
      </c>
    </row>
    <row r="32" spans="1:9" ht="14.25" customHeight="1" x14ac:dyDescent="0.3">
      <c r="A32" s="36" t="s">
        <v>327</v>
      </c>
    </row>
    <row r="33" spans="1:6" ht="14.25" customHeight="1" x14ac:dyDescent="0.3">
      <c r="A33" s="12" t="s">
        <v>328</v>
      </c>
      <c r="D33" s="40">
        <v>3.97</v>
      </c>
      <c r="E33" s="40">
        <v>3.79</v>
      </c>
      <c r="F33" s="40">
        <v>3.75</v>
      </c>
    </row>
    <row r="34" spans="1:6" ht="14.25" customHeight="1" x14ac:dyDescent="0.3">
      <c r="A34" s="12" t="s">
        <v>329</v>
      </c>
      <c r="D34" s="40">
        <v>3.91</v>
      </c>
      <c r="E34" s="40">
        <v>3.72</v>
      </c>
      <c r="F34" s="40">
        <v>3.67</v>
      </c>
    </row>
    <row r="35" spans="1:6" ht="14.25" customHeight="1" x14ac:dyDescent="0.3">
      <c r="A35" s="12" t="s">
        <v>330</v>
      </c>
      <c r="C35" s="39">
        <f>IF(Premissas!$C$17=20000,IF(Premissas!$C$6=2022,D33,IF(Premissas!$C$6=2023,E33,IF(Premissas!$C$6=2024,F33,AVERAGE(D33:F33)))),IF(Premissas!$C$6=2022,D34,IF(Premissas!$C$6=2023,E34,IF(Premissas!$C$6=2024,F34,AVERAGE(D34:F34)))))</f>
        <v>3.67</v>
      </c>
      <c r="E35" s="22" t="s">
        <v>331</v>
      </c>
    </row>
    <row r="37" spans="1:6" ht="14.25" customHeight="1" x14ac:dyDescent="0.3">
      <c r="A37" s="36" t="s">
        <v>332</v>
      </c>
    </row>
    <row r="38" spans="1:6" ht="14.25" customHeight="1" x14ac:dyDescent="0.3">
      <c r="A38" s="42" t="s">
        <v>290</v>
      </c>
      <c r="B38" s="42" t="s">
        <v>333</v>
      </c>
      <c r="C38" s="42" t="s">
        <v>334</v>
      </c>
      <c r="D38" s="42" t="s">
        <v>335</v>
      </c>
    </row>
    <row r="39" spans="1:6" ht="14.25" customHeight="1" x14ac:dyDescent="0.3">
      <c r="A39" s="12" t="s">
        <v>298</v>
      </c>
      <c r="B39" s="40">
        <v>65.64</v>
      </c>
      <c r="C39" s="40">
        <v>24.59</v>
      </c>
      <c r="D39" s="43">
        <f>C39/(B39+C39)</f>
        <v>0.27252576748309876</v>
      </c>
    </row>
    <row r="40" spans="1:6" ht="14.25" customHeight="1" x14ac:dyDescent="0.3">
      <c r="A40" s="12" t="s">
        <v>320</v>
      </c>
      <c r="B40" s="40">
        <v>56.37</v>
      </c>
      <c r="C40" s="40">
        <v>29.37</v>
      </c>
      <c r="D40" s="43">
        <f>C40/(B40+C40)</f>
        <v>0.34254723582925128</v>
      </c>
    </row>
    <row r="41" spans="1:6" ht="14.25" customHeight="1" x14ac:dyDescent="0.3">
      <c r="A41" s="12" t="s">
        <v>301</v>
      </c>
      <c r="B41" s="40">
        <v>78.7</v>
      </c>
      <c r="C41" s="40">
        <v>23.58</v>
      </c>
      <c r="D41" s="43">
        <f>C41/(B41+C41)</f>
        <v>0.23054360578803282</v>
      </c>
    </row>
    <row r="42" spans="1:6" ht="14.25" customHeight="1" x14ac:dyDescent="0.3">
      <c r="A42" s="12" t="s">
        <v>314</v>
      </c>
      <c r="B42" s="40">
        <v>80.14</v>
      </c>
      <c r="C42" s="40">
        <v>24.96</v>
      </c>
      <c r="D42" s="43">
        <f>C42/(B42+C42)</f>
        <v>0.23748810656517605</v>
      </c>
    </row>
    <row r="43" spans="1:6" ht="14.25" customHeight="1" x14ac:dyDescent="0.3">
      <c r="A43" s="12" t="s">
        <v>316</v>
      </c>
      <c r="B43" s="40">
        <v>60.28</v>
      </c>
      <c r="C43" s="40">
        <v>33.18</v>
      </c>
      <c r="D43" s="43">
        <f>C43/(B43+C43)</f>
        <v>0.35501818959982878</v>
      </c>
    </row>
    <row r="44" spans="1:6" ht="14.25" customHeight="1" x14ac:dyDescent="0.3">
      <c r="A44" s="22" t="s">
        <v>336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zoomScaleNormal="100" workbookViewId="0">
      <pane ySplit="4" topLeftCell="A5" activePane="bottomLeft" state="frozen"/>
      <selection pane="bottomLeft" activeCell="M6" sqref="M6"/>
    </sheetView>
  </sheetViews>
  <sheetFormatPr defaultColWidth="8.6640625" defaultRowHeight="14.4" x14ac:dyDescent="0.3"/>
  <cols>
    <col min="1" max="1" width="8" customWidth="1"/>
    <col min="2" max="2" width="14" customWidth="1"/>
    <col min="3" max="3" width="28" customWidth="1"/>
    <col min="4" max="4" width="22" customWidth="1"/>
    <col min="5" max="5" width="26" customWidth="1"/>
    <col min="6" max="6" width="17" customWidth="1"/>
    <col min="7" max="7" width="20" customWidth="1"/>
  </cols>
  <sheetData>
    <row r="1" spans="1:7" ht="17.25" customHeight="1" x14ac:dyDescent="0.3">
      <c r="A1" s="8" t="s">
        <v>337</v>
      </c>
    </row>
    <row r="2" spans="1:7" ht="14.25" customHeight="1" x14ac:dyDescent="0.3">
      <c r="A2" s="25" t="s">
        <v>338</v>
      </c>
    </row>
    <row r="4" spans="1:7" ht="26.25" customHeight="1" x14ac:dyDescent="0.3">
      <c r="A4" s="32" t="s">
        <v>126</v>
      </c>
      <c r="B4" s="32" t="s">
        <v>290</v>
      </c>
      <c r="C4" s="32" t="s">
        <v>339</v>
      </c>
      <c r="D4" s="32" t="s">
        <v>340</v>
      </c>
      <c r="E4" s="32" t="s">
        <v>341</v>
      </c>
      <c r="F4" s="32" t="s">
        <v>342</v>
      </c>
      <c r="G4" s="32" t="s">
        <v>285</v>
      </c>
    </row>
    <row r="5" spans="1:7" ht="14.25" customHeight="1" x14ac:dyDescent="0.3">
      <c r="A5" s="12" t="s">
        <v>221</v>
      </c>
      <c r="B5" s="12" t="s">
        <v>320</v>
      </c>
      <c r="C5" s="39">
        <f>IFERROR(AVERAGEIF(GN_Boletim!$B$5:$B$23,A5,GN_Boletim!$I$5:$I$23),1)</f>
        <v>1</v>
      </c>
      <c r="D5" s="39">
        <f>C5*GN_Boletim!$C$35</f>
        <v>3.67</v>
      </c>
      <c r="E5" s="39">
        <f>IF(Premissas!$C$19="SEM",D5*(1-IFERROR(INDEX(GN_Boletim!$D$39:$D$43,MATCH(B5,GN_Boletim!$A$39:$A$43,0)),0)),D5)</f>
        <v>3.67</v>
      </c>
      <c r="F5" s="38">
        <f>E5/Premissas!$C$23/Premissas!$C$15</f>
        <v>19.125598721917218</v>
      </c>
      <c r="G5" s="35" t="str">
        <f>IF(COUNTIF(GN_Boletim!$B$5:$B$23,A5)=0,"SIM — nacional","")</f>
        <v>SIM — nacional</v>
      </c>
    </row>
    <row r="6" spans="1:7" ht="14.25" customHeight="1" x14ac:dyDescent="0.3">
      <c r="A6" s="12" t="s">
        <v>243</v>
      </c>
      <c r="B6" s="12" t="s">
        <v>298</v>
      </c>
      <c r="C6" s="39">
        <f>IFERROR(AVERAGEIF(GN_Boletim!$B$5:$B$23,A6,GN_Boletim!$I$5:$I$23),1)</f>
        <v>0.94272076372315028</v>
      </c>
      <c r="D6" s="39">
        <f>C6*GN_Boletim!$C$35</f>
        <v>3.4597852028639613</v>
      </c>
      <c r="E6" s="39">
        <f>IF(Premissas!$C$19="SEM",D6*(1-IFERROR(INDEX(GN_Boletim!$D$39:$D$43,MATCH(B6,GN_Boletim!$A$39:$A$43,0)),0)),D6)</f>
        <v>3.4597852028639613</v>
      </c>
      <c r="F6" s="38">
        <f>E6/Premissas!$C$23/Premissas!$C$15</f>
        <v>18.030099033788304</v>
      </c>
      <c r="G6" s="35" t="str">
        <f>IF(COUNTIF(GN_Boletim!$B$5:$B$23,A6)=0,"SIM — nacional","")</f>
        <v/>
      </c>
    </row>
    <row r="7" spans="1:7" ht="14.25" customHeight="1" x14ac:dyDescent="0.3">
      <c r="A7" s="12" t="s">
        <v>273</v>
      </c>
      <c r="B7" s="12" t="s">
        <v>320</v>
      </c>
      <c r="C7" s="39">
        <f>IFERROR(AVERAGEIF(GN_Boletim!$B$5:$B$23,A7,GN_Boletim!$I$5:$I$23),1)</f>
        <v>0.84128878281622899</v>
      </c>
      <c r="D7" s="39">
        <f>C7*GN_Boletim!$C$35</f>
        <v>3.0875298329355605</v>
      </c>
      <c r="E7" s="39">
        <f>IF(Premissas!$C$19="SEM",D7*(1-IFERROR(INDEX(GN_Boletim!$D$39:$D$43,MATCH(B7,GN_Boletim!$A$39:$A$43,0)),0)),D7)</f>
        <v>3.0875298329355605</v>
      </c>
      <c r="F7" s="38">
        <f>E7/Premissas!$C$23/Premissas!$C$15</f>
        <v>16.090151669393361</v>
      </c>
      <c r="G7" s="35" t="str">
        <f>IF(COUNTIF(GN_Boletim!$B$5:$B$23,A7)=0,"SIM — nacional","")</f>
        <v/>
      </c>
    </row>
    <row r="8" spans="1:7" ht="14.25" customHeight="1" x14ac:dyDescent="0.3">
      <c r="A8" s="12" t="s">
        <v>144</v>
      </c>
      <c r="B8" s="12" t="s">
        <v>320</v>
      </c>
      <c r="C8" s="39">
        <f>IFERROR(AVERAGEIF(GN_Boletim!$B$5:$B$23,A8,GN_Boletim!$I$5:$I$23),1)</f>
        <v>1</v>
      </c>
      <c r="D8" s="39">
        <f>C8*GN_Boletim!$C$35</f>
        <v>3.67</v>
      </c>
      <c r="E8" s="39">
        <f>IF(Premissas!$C$19="SEM",D8*(1-IFERROR(INDEX(GN_Boletim!$D$39:$D$43,MATCH(B8,GN_Boletim!$A$39:$A$43,0)),0)),D8)</f>
        <v>3.67</v>
      </c>
      <c r="F8" s="38">
        <f>E8/Premissas!$C$23/Premissas!$C$15</f>
        <v>19.125598721917218</v>
      </c>
      <c r="G8" s="35" t="str">
        <f>IF(COUNTIF(GN_Boletim!$B$5:$B$23,A8)=0,"SIM — nacional","")</f>
        <v>SIM — nacional</v>
      </c>
    </row>
    <row r="9" spans="1:7" ht="14.25" customHeight="1" x14ac:dyDescent="0.3">
      <c r="A9" s="12" t="s">
        <v>197</v>
      </c>
      <c r="B9" s="12" t="s">
        <v>298</v>
      </c>
      <c r="C9" s="39">
        <f>IFERROR(AVERAGEIF(GN_Boletim!$B$5:$B$23,A9,GN_Boletim!$I$5:$I$23),1)</f>
        <v>0.7935560859188544</v>
      </c>
      <c r="D9" s="39">
        <f>C9*GN_Boletim!$C$35</f>
        <v>2.9123508353221954</v>
      </c>
      <c r="E9" s="39">
        <f>IF(Premissas!$C$19="SEM",D9*(1-IFERROR(INDEX(GN_Boletim!$D$39:$D$43,MATCH(B9,GN_Boletim!$A$39:$A$43,0)),0)),D9)</f>
        <v>2.9123508353221954</v>
      </c>
      <c r="F9" s="38">
        <f>E9/Premissas!$C$23/Premissas!$C$15</f>
        <v>15.177235262619272</v>
      </c>
      <c r="G9" s="35" t="str">
        <f>IF(COUNTIF(GN_Boletim!$B$5:$B$23,A9)=0,"SIM — nacional","")</f>
        <v/>
      </c>
    </row>
    <row r="10" spans="1:7" ht="14.25" customHeight="1" x14ac:dyDescent="0.3">
      <c r="A10" s="12" t="s">
        <v>237</v>
      </c>
      <c r="B10" s="12" t="s">
        <v>298</v>
      </c>
      <c r="C10" s="39">
        <f>IFERROR(AVERAGEIF(GN_Boletim!$B$5:$B$23,A10,GN_Boletim!$I$5:$I$23),1)</f>
        <v>1.1157517899761336</v>
      </c>
      <c r="D10" s="39">
        <f>C10*GN_Boletim!$C$35</f>
        <v>4.0948090692124097</v>
      </c>
      <c r="E10" s="39">
        <f>IF(Premissas!$C$19="SEM",D10*(1-IFERROR(INDEX(GN_Boletim!$D$39:$D$43,MATCH(B10,GN_Boletim!$A$39:$A$43,0)),0)),D10)</f>
        <v>4.0948090692124097</v>
      </c>
      <c r="F10" s="38">
        <f>E10/Premissas!$C$23/Premissas!$C$15</f>
        <v>21.339421008344388</v>
      </c>
      <c r="G10" s="35" t="str">
        <f>IF(COUNTIF(GN_Boletim!$B$5:$B$23,A10)=0,"SIM — nacional","")</f>
        <v/>
      </c>
    </row>
    <row r="11" spans="1:7" ht="14.25" customHeight="1" x14ac:dyDescent="0.3">
      <c r="A11" s="12" t="s">
        <v>262</v>
      </c>
      <c r="B11" s="12" t="s">
        <v>316</v>
      </c>
      <c r="C11" s="39">
        <f>IFERROR(AVERAGEIF(GN_Boletim!$B$5:$B$23,A11,GN_Boletim!$I$5:$I$23),1)</f>
        <v>1</v>
      </c>
      <c r="D11" s="39">
        <f>C11*GN_Boletim!$C$35</f>
        <v>3.67</v>
      </c>
      <c r="E11" s="39">
        <f>IF(Premissas!$C$19="SEM",D11*(1-IFERROR(INDEX(GN_Boletim!$D$39:$D$43,MATCH(B11,GN_Boletim!$A$39:$A$43,0)),0)),D11)</f>
        <v>3.67</v>
      </c>
      <c r="F11" s="38">
        <f>E11/Premissas!$C$23/Premissas!$C$15</f>
        <v>19.125598721917218</v>
      </c>
      <c r="G11" s="35" t="str">
        <f>IF(COUNTIF(GN_Boletim!$B$5:$B$23,A11)=0,"SIM — nacional","")</f>
        <v>SIM — nacional</v>
      </c>
    </row>
    <row r="12" spans="1:7" ht="14.25" customHeight="1" x14ac:dyDescent="0.3">
      <c r="A12" s="12" t="s">
        <v>223</v>
      </c>
      <c r="B12" s="12" t="s">
        <v>301</v>
      </c>
      <c r="C12" s="39">
        <f>IFERROR(AVERAGEIF(GN_Boletim!$B$5:$B$23,A12,GN_Boletim!$I$5:$I$23),1)</f>
        <v>0.99045346062052508</v>
      </c>
      <c r="D12" s="39">
        <f>C12*GN_Boletim!$C$35</f>
        <v>3.6349642004773268</v>
      </c>
      <c r="E12" s="39">
        <f>IF(Premissas!$C$19="SEM",D12*(1-IFERROR(INDEX(GN_Boletim!$D$39:$D$43,MATCH(B12,GN_Boletim!$A$39:$A$43,0)),0)),D12)</f>
        <v>3.6349642004773268</v>
      </c>
      <c r="F12" s="38">
        <f>E12/Premissas!$C$23/Premissas!$C$15</f>
        <v>18.943015440562398</v>
      </c>
      <c r="G12" s="35" t="str">
        <f>IF(COUNTIF(GN_Boletim!$B$5:$B$23,A12)=0,"SIM — nacional","")</f>
        <v/>
      </c>
    </row>
    <row r="13" spans="1:7" ht="14.25" customHeight="1" x14ac:dyDescent="0.3">
      <c r="A13" s="12" t="s">
        <v>193</v>
      </c>
      <c r="B13" s="12" t="s">
        <v>316</v>
      </c>
      <c r="C13" s="39">
        <f>IFERROR(AVERAGEIF(GN_Boletim!$B$5:$B$23,A13,GN_Boletim!$I$5:$I$23),1)</f>
        <v>1</v>
      </c>
      <c r="D13" s="39">
        <f>C13*GN_Boletim!$C$35</f>
        <v>3.67</v>
      </c>
      <c r="E13" s="39">
        <f>IF(Premissas!$C$19="SEM",D13*(1-IFERROR(INDEX(GN_Boletim!$D$39:$D$43,MATCH(B13,GN_Boletim!$A$39:$A$43,0)),0)),D13)</f>
        <v>3.67</v>
      </c>
      <c r="F13" s="38">
        <f>E13/Premissas!$C$23/Premissas!$C$15</f>
        <v>19.125598721917218</v>
      </c>
      <c r="G13" s="35" t="str">
        <f>IF(COUNTIF(GN_Boletim!$B$5:$B$23,A13)=0,"SIM — nacional","")</f>
        <v>SIM — nacional</v>
      </c>
    </row>
    <row r="14" spans="1:7" ht="14.25" customHeight="1" x14ac:dyDescent="0.3">
      <c r="A14" s="12" t="s">
        <v>246</v>
      </c>
      <c r="B14" s="12" t="s">
        <v>298</v>
      </c>
      <c r="C14" s="39">
        <f>IFERROR(AVERAGEIF(GN_Boletim!$B$5:$B$23,A14,GN_Boletim!$I$5:$I$23),1)</f>
        <v>1</v>
      </c>
      <c r="D14" s="39">
        <f>C14*GN_Boletim!$C$35</f>
        <v>3.67</v>
      </c>
      <c r="E14" s="39">
        <f>IF(Premissas!$C$19="SEM",D14*(1-IFERROR(INDEX(GN_Boletim!$D$39:$D$43,MATCH(B14,GN_Boletim!$A$39:$A$43,0)),0)),D14)</f>
        <v>3.67</v>
      </c>
      <c r="F14" s="38">
        <f>E14/Premissas!$C$23/Premissas!$C$15</f>
        <v>19.125598721917218</v>
      </c>
      <c r="G14" s="35" t="str">
        <f>IF(COUNTIF(GN_Boletim!$B$5:$B$23,A14)=0,"SIM — nacional","")</f>
        <v>SIM — nacional</v>
      </c>
    </row>
    <row r="15" spans="1:7" ht="14.25" customHeight="1" x14ac:dyDescent="0.3">
      <c r="A15" s="12" t="s">
        <v>158</v>
      </c>
      <c r="B15" s="12" t="s">
        <v>301</v>
      </c>
      <c r="C15" s="39">
        <f>IFERROR(AVERAGEIF(GN_Boletim!$B$5:$B$23,A15,GN_Boletim!$I$5:$I$23),1)</f>
        <v>0.92482100238663478</v>
      </c>
      <c r="D15" s="39">
        <f>C15*GN_Boletim!$C$35</f>
        <v>3.3940930787589494</v>
      </c>
      <c r="E15" s="39">
        <f>IF(Premissas!$C$19="SEM",D15*(1-IFERROR(INDEX(GN_Boletim!$D$39:$D$43,MATCH(B15,GN_Boletim!$A$39:$A$43,0)),0)),D15)</f>
        <v>3.3940930787589494</v>
      </c>
      <c r="F15" s="38">
        <f>E15/Premissas!$C$23/Premissas!$C$15</f>
        <v>17.687755381248021</v>
      </c>
      <c r="G15" s="35" t="str">
        <f>IF(COUNTIF(GN_Boletim!$B$5:$B$23,A15)=0,"SIM — nacional","")</f>
        <v/>
      </c>
    </row>
    <row r="16" spans="1:7" ht="14.25" customHeight="1" x14ac:dyDescent="0.3">
      <c r="A16" s="12" t="s">
        <v>233</v>
      </c>
      <c r="B16" s="12" t="s">
        <v>316</v>
      </c>
      <c r="C16" s="39">
        <f>IFERROR(AVERAGEIF(GN_Boletim!$B$5:$B$23,A16,GN_Boletim!$I$5:$I$23),1)</f>
        <v>0.99642004773269677</v>
      </c>
      <c r="D16" s="39">
        <f>C16*GN_Boletim!$C$35</f>
        <v>3.656861575178997</v>
      </c>
      <c r="E16" s="39">
        <f>IF(Premissas!$C$19="SEM",D16*(1-IFERROR(INDEX(GN_Boletim!$D$39:$D$43,MATCH(B16,GN_Boletim!$A$39:$A$43,0)),0)),D16)</f>
        <v>3.656861575178997</v>
      </c>
      <c r="F16" s="38">
        <f>E16/Premissas!$C$23/Premissas!$C$15</f>
        <v>19.057129991409159</v>
      </c>
      <c r="G16" s="35" t="str">
        <f>IF(COUNTIF(GN_Boletim!$B$5:$B$23,A16)=0,"SIM — nacional","")</f>
        <v/>
      </c>
    </row>
    <row r="17" spans="1:7" ht="14.25" customHeight="1" x14ac:dyDescent="0.3">
      <c r="A17" s="12" t="s">
        <v>235</v>
      </c>
      <c r="B17" s="12" t="s">
        <v>316</v>
      </c>
      <c r="C17" s="39">
        <f>IFERROR(AVERAGEIF(GN_Boletim!$B$5:$B$23,A17,GN_Boletim!$I$5:$I$23),1)</f>
        <v>1</v>
      </c>
      <c r="D17" s="39">
        <f>C17*GN_Boletim!$C$35</f>
        <v>3.67</v>
      </c>
      <c r="E17" s="39">
        <f>IF(Premissas!$C$19="SEM",D17*(1-IFERROR(INDEX(GN_Boletim!$D$39:$D$43,MATCH(B17,GN_Boletim!$A$39:$A$43,0)),0)),D17)</f>
        <v>3.67</v>
      </c>
      <c r="F17" s="38">
        <f>E17/Premissas!$C$23/Premissas!$C$15</f>
        <v>19.125598721917218</v>
      </c>
      <c r="G17" s="35" t="str">
        <f>IF(COUNTIF(GN_Boletim!$B$5:$B$23,A17)=0,"SIM — nacional","")</f>
        <v>SIM — nacional</v>
      </c>
    </row>
    <row r="18" spans="1:7" ht="14.25" customHeight="1" x14ac:dyDescent="0.3">
      <c r="A18" s="12" t="s">
        <v>248</v>
      </c>
      <c r="B18" s="12" t="s">
        <v>320</v>
      </c>
      <c r="C18" s="39">
        <f>IFERROR(AVERAGEIF(GN_Boletim!$B$5:$B$23,A18,GN_Boletim!$I$5:$I$23),1)</f>
        <v>1</v>
      </c>
      <c r="D18" s="39">
        <f>C18*GN_Boletim!$C$35</f>
        <v>3.67</v>
      </c>
      <c r="E18" s="39">
        <f>IF(Premissas!$C$19="SEM",D18*(1-IFERROR(INDEX(GN_Boletim!$D$39:$D$43,MATCH(B18,GN_Boletim!$A$39:$A$43,0)),0)),D18)</f>
        <v>3.67</v>
      </c>
      <c r="F18" s="38">
        <f>E18/Premissas!$C$23/Premissas!$C$15</f>
        <v>19.125598721917218</v>
      </c>
      <c r="G18" s="35" t="str">
        <f>IF(COUNTIF(GN_Boletim!$B$5:$B$23,A18)=0,"SIM — nacional","")</f>
        <v>SIM — nacional</v>
      </c>
    </row>
    <row r="19" spans="1:7" ht="14.25" customHeight="1" x14ac:dyDescent="0.3">
      <c r="A19" s="12" t="s">
        <v>241</v>
      </c>
      <c r="B19" s="12" t="s">
        <v>298</v>
      </c>
      <c r="C19" s="39">
        <f>IFERROR(AVERAGEIF(GN_Boletim!$B$5:$B$23,A19,GN_Boletim!$I$5:$I$23),1)</f>
        <v>1.0501193317422435</v>
      </c>
      <c r="D19" s="39">
        <f>C19*GN_Boletim!$C$35</f>
        <v>3.8539379474940336</v>
      </c>
      <c r="E19" s="39">
        <f>IF(Premissas!$C$19="SEM",D19*(1-IFERROR(INDEX(GN_Boletim!$D$39:$D$43,MATCH(B19,GN_Boletim!$A$39:$A$43,0)),0)),D19)</f>
        <v>3.8539379474940336</v>
      </c>
      <c r="F19" s="38">
        <f>E19/Premissas!$C$23/Premissas!$C$15</f>
        <v>20.084160949030018</v>
      </c>
      <c r="G19" s="35" t="str">
        <f>IF(COUNTIF(GN_Boletim!$B$5:$B$23,A19)=0,"SIM — nacional","")</f>
        <v/>
      </c>
    </row>
    <row r="20" spans="1:7" ht="14.25" customHeight="1" x14ac:dyDescent="0.3">
      <c r="A20" s="12" t="s">
        <v>264</v>
      </c>
      <c r="B20" s="12" t="s">
        <v>298</v>
      </c>
      <c r="C20" s="39">
        <f>IFERROR(AVERAGEIF(GN_Boletim!$B$5:$B$23,A20,GN_Boletim!$I$5:$I$23),1)</f>
        <v>0.98448687350835318</v>
      </c>
      <c r="D20" s="39">
        <f>C20*GN_Boletim!$C$35</f>
        <v>3.6130668257756562</v>
      </c>
      <c r="E20" s="39">
        <f>IF(Premissas!$C$19="SEM",D20*(1-IFERROR(INDEX(GN_Boletim!$D$39:$D$43,MATCH(B20,GN_Boletim!$A$39:$A$43,0)),0)),D20)</f>
        <v>3.6130668257756562</v>
      </c>
      <c r="F20" s="38">
        <f>E20/Premissas!$C$23/Premissas!$C$15</f>
        <v>18.828900889715641</v>
      </c>
      <c r="G20" s="35" t="str">
        <f>IF(COUNTIF(GN_Boletim!$B$5:$B$23,A20)=0,"SIM — nacional","")</f>
        <v/>
      </c>
    </row>
    <row r="21" spans="1:7" ht="14.25" customHeight="1" x14ac:dyDescent="0.3">
      <c r="A21" s="12" t="s">
        <v>250</v>
      </c>
      <c r="B21" s="12" t="s">
        <v>298</v>
      </c>
      <c r="C21" s="39">
        <f>IFERROR(AVERAGEIF(GN_Boletim!$B$5:$B$23,A21,GN_Boletim!$I$5:$I$23),1)</f>
        <v>1</v>
      </c>
      <c r="D21" s="39">
        <f>C21*GN_Boletim!$C$35</f>
        <v>3.67</v>
      </c>
      <c r="E21" s="39">
        <f>IF(Premissas!$C$19="SEM",D21*(1-IFERROR(INDEX(GN_Boletim!$D$39:$D$43,MATCH(B21,GN_Boletim!$A$39:$A$43,0)),0)),D21)</f>
        <v>3.67</v>
      </c>
      <c r="F21" s="38">
        <f>E21/Premissas!$C$23/Premissas!$C$15</f>
        <v>19.125598721917218</v>
      </c>
      <c r="G21" s="35" t="str">
        <f>IF(COUNTIF(GN_Boletim!$B$5:$B$23,A21)=0,"SIM — nacional","")</f>
        <v>SIM — nacional</v>
      </c>
    </row>
    <row r="22" spans="1:7" ht="14.25" customHeight="1" x14ac:dyDescent="0.3">
      <c r="A22" s="12" t="s">
        <v>141</v>
      </c>
      <c r="B22" s="12" t="s">
        <v>314</v>
      </c>
      <c r="C22" s="39">
        <f>IFERROR(AVERAGEIF(GN_Boletim!$B$5:$B$23,A22,GN_Boletim!$I$5:$I$23),1)</f>
        <v>1.0083532219570404</v>
      </c>
      <c r="D22" s="39">
        <f>C22*GN_Boletim!$C$35</f>
        <v>3.7006563245823378</v>
      </c>
      <c r="E22" s="39">
        <f>IF(Premissas!$C$19="SEM",D22*(1-IFERROR(INDEX(GN_Boletim!$D$39:$D$43,MATCH(B22,GN_Boletim!$A$39:$A$43,0)),0)),D22)</f>
        <v>3.7006563245823378</v>
      </c>
      <c r="F22" s="38">
        <f>E22/Premissas!$C$23/Premissas!$C$15</f>
        <v>19.285359093102681</v>
      </c>
      <c r="G22" s="35" t="str">
        <f>IF(COUNTIF(GN_Boletim!$B$5:$B$23,A22)=0,"SIM — nacional","")</f>
        <v/>
      </c>
    </row>
    <row r="23" spans="1:7" ht="14.25" customHeight="1" x14ac:dyDescent="0.3">
      <c r="A23" s="12" t="s">
        <v>239</v>
      </c>
      <c r="B23" s="12" t="s">
        <v>301</v>
      </c>
      <c r="C23" s="39">
        <f>IFERROR(AVERAGEIF(GN_Boletim!$B$5:$B$23,A23,GN_Boletim!$I$5:$I$23),1)</f>
        <v>1.0799522673031026</v>
      </c>
      <c r="D23" s="39">
        <f>C23*GN_Boletim!$C$35</f>
        <v>3.9634248210023864</v>
      </c>
      <c r="E23" s="39">
        <f>IF(Premissas!$C$19="SEM",D23*(1-IFERROR(INDEX(GN_Boletim!$D$39:$D$43,MATCH(B23,GN_Boletim!$A$39:$A$43,0)),0)),D23)</f>
        <v>3.9634248210023864</v>
      </c>
      <c r="F23" s="38">
        <f>E23/Premissas!$C$23/Premissas!$C$15</f>
        <v>20.654733703263819</v>
      </c>
      <c r="G23" s="35" t="str">
        <f>IF(COUNTIF(GN_Boletim!$B$5:$B$23,A23)=0,"SIM — nacional","")</f>
        <v/>
      </c>
    </row>
    <row r="24" spans="1:7" ht="14.25" customHeight="1" x14ac:dyDescent="0.3">
      <c r="A24" s="12" t="s">
        <v>210</v>
      </c>
      <c r="B24" s="12" t="s">
        <v>298</v>
      </c>
      <c r="C24" s="39">
        <f>IFERROR(AVERAGEIF(GN_Boletim!$B$5:$B$23,A24,GN_Boletim!$I$5:$I$23),1)</f>
        <v>1.0560859188544152</v>
      </c>
      <c r="D24" s="39">
        <f>C24*GN_Boletim!$C$35</f>
        <v>3.8758353221957034</v>
      </c>
      <c r="E24" s="39">
        <f>IF(Premissas!$C$19="SEM",D24*(1-IFERROR(INDEX(GN_Boletim!$D$39:$D$43,MATCH(B24,GN_Boletim!$A$39:$A$43,0)),0)),D24)</f>
        <v>3.8758353221957034</v>
      </c>
      <c r="F24" s="38">
        <f>E24/Premissas!$C$23/Premissas!$C$15</f>
        <v>20.198275499876775</v>
      </c>
      <c r="G24" s="35" t="str">
        <f>IF(COUNTIF(GN_Boletim!$B$5:$B$23,A24)=0,"SIM — nacional","")</f>
        <v/>
      </c>
    </row>
    <row r="25" spans="1:7" ht="14.25" customHeight="1" x14ac:dyDescent="0.3">
      <c r="A25" s="12" t="s">
        <v>252</v>
      </c>
      <c r="B25" s="12" t="s">
        <v>320</v>
      </c>
      <c r="C25" s="39">
        <f>IFERROR(AVERAGEIF(GN_Boletim!$B$5:$B$23,A25,GN_Boletim!$I$5:$I$23),1)</f>
        <v>1</v>
      </c>
      <c r="D25" s="39">
        <f>C25*GN_Boletim!$C$35</f>
        <v>3.67</v>
      </c>
      <c r="E25" s="39">
        <f>IF(Premissas!$C$19="SEM",D25*(1-IFERROR(INDEX(GN_Boletim!$D$39:$D$43,MATCH(B25,GN_Boletim!$A$39:$A$43,0)),0)),D25)</f>
        <v>3.67</v>
      </c>
      <c r="F25" s="38">
        <f>E25/Premissas!$C$23/Premissas!$C$15</f>
        <v>19.125598721917218</v>
      </c>
      <c r="G25" s="35" t="str">
        <f>IF(COUNTIF(GN_Boletim!$B$5:$B$23,A25)=0,"SIM — nacional","")</f>
        <v>SIM — nacional</v>
      </c>
    </row>
    <row r="26" spans="1:7" ht="14.25" customHeight="1" x14ac:dyDescent="0.3">
      <c r="A26" s="12" t="s">
        <v>271</v>
      </c>
      <c r="B26" s="12" t="s">
        <v>320</v>
      </c>
      <c r="C26" s="39">
        <f>IFERROR(AVERAGEIF(GN_Boletim!$B$5:$B$23,A26,GN_Boletim!$I$5:$I$23),1)</f>
        <v>1</v>
      </c>
      <c r="D26" s="39">
        <f>C26*GN_Boletim!$C$35</f>
        <v>3.67</v>
      </c>
      <c r="E26" s="39">
        <f>IF(Premissas!$C$19="SEM",D26*(1-IFERROR(INDEX(GN_Boletim!$D$39:$D$43,MATCH(B26,GN_Boletim!$A$39:$A$43,0)),0)),D26)</f>
        <v>3.67</v>
      </c>
      <c r="F26" s="38">
        <f>E26/Premissas!$C$23/Premissas!$C$15</f>
        <v>19.125598721917218</v>
      </c>
      <c r="G26" s="35" t="str">
        <f>IF(COUNTIF(GN_Boletim!$B$5:$B$23,A26)=0,"SIM — nacional","")</f>
        <v>SIM — nacional</v>
      </c>
    </row>
    <row r="27" spans="1:7" ht="14.25" customHeight="1" x14ac:dyDescent="0.3">
      <c r="A27" s="12" t="s">
        <v>151</v>
      </c>
      <c r="B27" s="12" t="s">
        <v>314</v>
      </c>
      <c r="C27" s="39">
        <f>IFERROR(AVERAGEIF(GN_Boletim!$B$5:$B$23,A27,GN_Boletim!$I$5:$I$23),1)</f>
        <v>1.0799522673031026</v>
      </c>
      <c r="D27" s="39">
        <f>C27*GN_Boletim!$C$35</f>
        <v>3.9634248210023864</v>
      </c>
      <c r="E27" s="39">
        <f>IF(Premissas!$C$19="SEM",D27*(1-IFERROR(INDEX(GN_Boletim!$D$39:$D$43,MATCH(B27,GN_Boletim!$A$39:$A$43,0)),0)),D27)</f>
        <v>3.9634248210023864</v>
      </c>
      <c r="F27" s="38">
        <f>E27/Premissas!$C$23/Premissas!$C$15</f>
        <v>20.654733703263819</v>
      </c>
      <c r="G27" s="35" t="str">
        <f>IF(COUNTIF(GN_Boletim!$B$5:$B$23,A27)=0,"SIM — nacional","")</f>
        <v/>
      </c>
    </row>
    <row r="28" spans="1:7" ht="14.25" customHeight="1" x14ac:dyDescent="0.3">
      <c r="A28" s="12" t="s">
        <v>155</v>
      </c>
      <c r="B28" s="12" t="s">
        <v>314</v>
      </c>
      <c r="C28" s="39">
        <f>IFERROR(AVERAGEIF(GN_Boletim!$B$5:$B$23,A28,GN_Boletim!$I$5:$I$23),1)</f>
        <v>1.0023866348448687</v>
      </c>
      <c r="D28" s="39">
        <f>C28*GN_Boletim!$C$35</f>
        <v>3.6787589498806681</v>
      </c>
      <c r="E28" s="39">
        <f>IF(Premissas!$C$19="SEM",D28*(1-IFERROR(INDEX(GN_Boletim!$D$39:$D$43,MATCH(B28,GN_Boletim!$A$39:$A$43,0)),0)),D28)</f>
        <v>3.6787589498806681</v>
      </c>
      <c r="F28" s="38">
        <f>E28/Premissas!$C$23/Premissas!$C$15</f>
        <v>19.171244542255923</v>
      </c>
      <c r="G28" s="35" t="str">
        <f>IF(COUNTIF(GN_Boletim!$B$5:$B$23,A28)=0,"SIM — nacional","")</f>
        <v/>
      </c>
    </row>
    <row r="29" spans="1:7" ht="14.25" customHeight="1" x14ac:dyDescent="0.3">
      <c r="A29" s="12" t="s">
        <v>254</v>
      </c>
      <c r="B29" s="12" t="s">
        <v>298</v>
      </c>
      <c r="C29" s="39">
        <f>IFERROR(AVERAGEIF(GN_Boletim!$B$5:$B$23,A29,GN_Boletim!$I$5:$I$23),1)</f>
        <v>1.0381861575178997</v>
      </c>
      <c r="D29" s="39">
        <f>C29*GN_Boletim!$C$35</f>
        <v>3.8101431980906919</v>
      </c>
      <c r="E29" s="39">
        <f>IF(Premissas!$C$19="SEM",D29*(1-IFERROR(INDEX(GN_Boletim!$D$39:$D$43,MATCH(B29,GN_Boletim!$A$39:$A$43,0)),0)),D29)</f>
        <v>3.8101431980906919</v>
      </c>
      <c r="F29" s="38">
        <f>E29/Premissas!$C$23/Premissas!$C$15</f>
        <v>19.855931847336493</v>
      </c>
      <c r="G29" s="35" t="str">
        <f>IF(COUNTIF(GN_Boletim!$B$5:$B$23,A29)=0,"SIM — nacional","")</f>
        <v/>
      </c>
    </row>
    <row r="30" spans="1:7" ht="14.25" customHeight="1" x14ac:dyDescent="0.3">
      <c r="A30" s="12" t="s">
        <v>212</v>
      </c>
      <c r="B30" s="12" t="s">
        <v>301</v>
      </c>
      <c r="C30" s="39">
        <f>IFERROR(AVERAGEIF(GN_Boletim!$B$5:$B$23,A30,GN_Boletim!$I$5:$I$23),1)</f>
        <v>1.0103420843277644</v>
      </c>
      <c r="D30" s="39">
        <f>C30*GN_Boletim!$C$35</f>
        <v>3.7079554494828955</v>
      </c>
      <c r="E30" s="39">
        <f>IF(Premissas!$C$19="SEM",D30*(1-IFERROR(INDEX(GN_Boletim!$D$39:$D$43,MATCH(B30,GN_Boletim!$A$39:$A$43,0)),0)),D30)</f>
        <v>3.7079554494828955</v>
      </c>
      <c r="F30" s="38">
        <f>E30/Premissas!$C$23/Premissas!$C$15</f>
        <v>19.323397276718271</v>
      </c>
      <c r="G30" s="35" t="str">
        <f>IF(COUNTIF(GN_Boletim!$B$5:$B$23,A30)=0,"SIM — nacional","")</f>
        <v/>
      </c>
    </row>
    <row r="31" spans="1:7" ht="14.25" customHeight="1" x14ac:dyDescent="0.3">
      <c r="A31" s="12" t="s">
        <v>257</v>
      </c>
      <c r="B31" s="12" t="s">
        <v>320</v>
      </c>
      <c r="C31" s="39">
        <f>IFERROR(AVERAGEIF(GN_Boletim!$B$5:$B$23,A31,GN_Boletim!$I$5:$I$23),1)</f>
        <v>1</v>
      </c>
      <c r="D31" s="39">
        <f>C31*GN_Boletim!$C$35</f>
        <v>3.67</v>
      </c>
      <c r="E31" s="39">
        <f>IF(Premissas!$C$19="SEM",D31*(1-IFERROR(INDEX(GN_Boletim!$D$39:$D$43,MATCH(B31,GN_Boletim!$A$39:$A$43,0)),0)),D31)</f>
        <v>3.67</v>
      </c>
      <c r="F31" s="38">
        <f>E31/Premissas!$C$23/Premissas!$C$15</f>
        <v>19.125598721917218</v>
      </c>
      <c r="G31" s="35" t="str">
        <f>IF(COUNTIF(GN_Boletim!$B$5:$B$23,A31)=0,"SIM — nacional","")</f>
        <v>SIM — nacional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zoomScaleNormal="100" workbookViewId="0"/>
  </sheetViews>
  <sheetFormatPr defaultColWidth="8.6640625" defaultRowHeight="14.4" x14ac:dyDescent="0.3"/>
  <cols>
    <col min="1" max="1" width="26" customWidth="1"/>
    <col min="2" max="3" width="16" customWidth="1"/>
    <col min="4" max="4" width="12" customWidth="1"/>
    <col min="5" max="5" width="16" customWidth="1"/>
    <col min="6" max="6" width="12" customWidth="1"/>
  </cols>
  <sheetData>
    <row r="1" spans="1:6" ht="15" customHeight="1" x14ac:dyDescent="0.3">
      <c r="A1" s="44" t="s">
        <v>343</v>
      </c>
    </row>
    <row r="2" spans="1:6" ht="126.75" customHeight="1" x14ac:dyDescent="0.3">
      <c r="A2" s="45" t="s">
        <v>344</v>
      </c>
    </row>
    <row r="4" spans="1:6" ht="15" customHeight="1" x14ac:dyDescent="0.3">
      <c r="A4" s="46" t="s">
        <v>345</v>
      </c>
      <c r="B4" s="46" t="s">
        <v>346</v>
      </c>
      <c r="C4" s="46" t="s">
        <v>347</v>
      </c>
      <c r="D4" s="46" t="s">
        <v>348</v>
      </c>
      <c r="E4" s="46" t="s">
        <v>349</v>
      </c>
      <c r="F4" s="46" t="s">
        <v>350</v>
      </c>
    </row>
    <row r="5" spans="1:6" ht="15" customHeight="1" x14ac:dyDescent="0.3">
      <c r="A5" s="47">
        <v>2022</v>
      </c>
      <c r="B5" s="48">
        <v>5379476170</v>
      </c>
      <c r="C5" s="48">
        <v>16521372159</v>
      </c>
      <c r="D5" s="29">
        <f>B5/C5*1000</f>
        <v>325.60710564646024</v>
      </c>
      <c r="E5" s="48">
        <v>4983280595</v>
      </c>
      <c r="F5" s="29">
        <f>E5/C5*1000</f>
        <v>301.62631451197973</v>
      </c>
    </row>
    <row r="6" spans="1:6" ht="15" customHeight="1" x14ac:dyDescent="0.3">
      <c r="A6" s="47">
        <v>2023</v>
      </c>
      <c r="B6" s="48">
        <v>3882374416</v>
      </c>
      <c r="C6" s="48">
        <v>16001240871</v>
      </c>
      <c r="D6" s="29">
        <f>B6/C6*1000</f>
        <v>242.62958399909209</v>
      </c>
      <c r="E6" s="48">
        <v>3629414374</v>
      </c>
      <c r="F6" s="29">
        <f>E6/C6*1000</f>
        <v>226.82080741486766</v>
      </c>
    </row>
    <row r="7" spans="1:6" ht="15" customHeight="1" x14ac:dyDescent="0.3">
      <c r="A7" s="47">
        <v>2024</v>
      </c>
      <c r="B7" s="48">
        <v>3088863498</v>
      </c>
      <c r="C7" s="48">
        <v>15588893168</v>
      </c>
      <c r="D7" s="29">
        <f>B7/C7*1000</f>
        <v>198.14514505370045</v>
      </c>
      <c r="E7" s="48">
        <v>2837482343</v>
      </c>
      <c r="F7" s="29">
        <f>E7/C7*1000</f>
        <v>182.01948736326091</v>
      </c>
    </row>
    <row r="9" spans="1:6" ht="15" customHeight="1" x14ac:dyDescent="0.3">
      <c r="A9" s="49" t="s">
        <v>351</v>
      </c>
      <c r="D9" s="29">
        <f>IF(Premissas!C6=0,AVERAGE(D5:D7),INDEX(D5:D7,MATCH(Premissas!C6,A5:A7,0)))</f>
        <v>198.14514505370045</v>
      </c>
    </row>
    <row r="10" spans="1:6" ht="15" customHeight="1" x14ac:dyDescent="0.3">
      <c r="A10" s="28" t="s">
        <v>352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0" customWidth="1"/>
    <col min="3" max="3" width="14" customWidth="1"/>
    <col min="4" max="4" width="12" customWidth="1"/>
    <col min="5" max="5" width="95" customWidth="1"/>
  </cols>
  <sheetData>
    <row r="1" spans="1:5" ht="15" customHeight="1" x14ac:dyDescent="0.3">
      <c r="A1" s="44" t="s">
        <v>353</v>
      </c>
    </row>
    <row r="2" spans="1:5" ht="84.75" customHeight="1" x14ac:dyDescent="0.3">
      <c r="A2" s="45" t="s">
        <v>354</v>
      </c>
    </row>
    <row r="4" spans="1:5" ht="15" customHeight="1" x14ac:dyDescent="0.3">
      <c r="A4" s="6" t="s">
        <v>355</v>
      </c>
    </row>
    <row r="5" spans="1:5" ht="15" customHeight="1" x14ac:dyDescent="0.3">
      <c r="A5" s="46" t="s">
        <v>356</v>
      </c>
      <c r="B5" s="46" t="s">
        <v>357</v>
      </c>
      <c r="C5" s="46" t="s">
        <v>358</v>
      </c>
      <c r="D5" s="46" t="s">
        <v>359</v>
      </c>
    </row>
    <row r="6" spans="1:5" ht="15" customHeight="1" x14ac:dyDescent="0.3">
      <c r="A6" s="26" t="s">
        <v>360</v>
      </c>
      <c r="B6" s="31">
        <v>7.63</v>
      </c>
      <c r="C6" s="50">
        <v>0.25890000000000002</v>
      </c>
      <c r="D6" s="28" t="s">
        <v>361</v>
      </c>
    </row>
    <row r="7" spans="1:5" ht="15" customHeight="1" x14ac:dyDescent="0.3">
      <c r="A7" s="26" t="s">
        <v>362</v>
      </c>
      <c r="B7" s="31">
        <v>18.649999999999999</v>
      </c>
      <c r="C7" s="50">
        <v>0.11849999999999999</v>
      </c>
      <c r="D7" s="28" t="s">
        <v>363</v>
      </c>
    </row>
    <row r="8" spans="1:5" ht="15" customHeight="1" x14ac:dyDescent="0.3">
      <c r="A8" s="26" t="s">
        <v>364</v>
      </c>
      <c r="B8" s="50">
        <v>1.0967</v>
      </c>
      <c r="D8" s="28" t="s">
        <v>365</v>
      </c>
    </row>
    <row r="10" spans="1:5" ht="15" customHeight="1" x14ac:dyDescent="0.3">
      <c r="A10" s="6" t="s">
        <v>366</v>
      </c>
    </row>
    <row r="11" spans="1:5" ht="15" customHeight="1" x14ac:dyDescent="0.3">
      <c r="A11" s="46" t="s">
        <v>367</v>
      </c>
      <c r="B11" s="46" t="s">
        <v>356</v>
      </c>
      <c r="C11" s="46" t="s">
        <v>368</v>
      </c>
      <c r="D11" s="46" t="s">
        <v>369</v>
      </c>
      <c r="E11" s="46" t="s">
        <v>370</v>
      </c>
    </row>
    <row r="12" spans="1:5" ht="15" customHeight="1" x14ac:dyDescent="0.3">
      <c r="A12" s="26" t="s">
        <v>371</v>
      </c>
      <c r="B12" s="26" t="s">
        <v>360</v>
      </c>
      <c r="C12" s="51">
        <v>463</v>
      </c>
      <c r="D12" s="29">
        <f>($B$6+$C$6*C12)</f>
        <v>127.50070000000001</v>
      </c>
      <c r="E12" s="28" t="s">
        <v>372</v>
      </c>
    </row>
    <row r="13" spans="1:5" ht="15" customHeight="1" x14ac:dyDescent="0.3">
      <c r="A13" s="26" t="s">
        <v>373</v>
      </c>
      <c r="B13" s="26" t="s">
        <v>360</v>
      </c>
      <c r="C13" s="51">
        <v>111</v>
      </c>
      <c r="D13" s="29">
        <f>($B$6+$C$6*C13)</f>
        <v>36.367900000000006</v>
      </c>
      <c r="E13" s="28" t="s">
        <v>374</v>
      </c>
    </row>
    <row r="14" spans="1:5" ht="15" customHeight="1" x14ac:dyDescent="0.3">
      <c r="A14" s="26" t="s">
        <v>375</v>
      </c>
      <c r="B14" s="26" t="s">
        <v>362</v>
      </c>
      <c r="C14" s="51">
        <v>460</v>
      </c>
      <c r="D14" s="29">
        <f>($B$7+$C$7*C14)*$B$8</f>
        <v>80.234572</v>
      </c>
      <c r="E14" s="28" t="s">
        <v>376</v>
      </c>
    </row>
    <row r="15" spans="1:5" ht="15" customHeight="1" x14ac:dyDescent="0.3">
      <c r="A15" s="26" t="s">
        <v>377</v>
      </c>
      <c r="B15" s="26" t="s">
        <v>362</v>
      </c>
      <c r="C15" s="51">
        <v>540</v>
      </c>
      <c r="D15" s="29">
        <f>($B$7+$C$7*C15)*$B$8</f>
        <v>90.631287999999984</v>
      </c>
      <c r="E15" s="28" t="s">
        <v>378</v>
      </c>
    </row>
    <row r="17" spans="1:5" ht="15" customHeight="1" x14ac:dyDescent="0.3">
      <c r="A17" s="6" t="s">
        <v>379</v>
      </c>
    </row>
    <row r="18" spans="1:5" ht="15" customHeight="1" x14ac:dyDescent="0.3">
      <c r="A18" s="46" t="s">
        <v>380</v>
      </c>
      <c r="B18" s="46" t="s">
        <v>126</v>
      </c>
      <c r="C18" s="46" t="s">
        <v>381</v>
      </c>
      <c r="D18" s="46" t="s">
        <v>382</v>
      </c>
      <c r="E18" s="46" t="s">
        <v>383</v>
      </c>
    </row>
    <row r="19" spans="1:5" ht="15" customHeight="1" x14ac:dyDescent="0.3">
      <c r="A19" s="26" t="s">
        <v>384</v>
      </c>
      <c r="B19" s="26" t="s">
        <v>158</v>
      </c>
      <c r="C19" s="52">
        <v>7600</v>
      </c>
      <c r="D19" s="29">
        <f>D12</f>
        <v>127.50070000000001</v>
      </c>
      <c r="E19" s="28" t="s">
        <v>360</v>
      </c>
    </row>
    <row r="20" spans="1:5" ht="15" customHeight="1" x14ac:dyDescent="0.3">
      <c r="A20" s="26" t="s">
        <v>385</v>
      </c>
      <c r="B20" s="26" t="s">
        <v>158</v>
      </c>
      <c r="C20" s="52">
        <v>3500</v>
      </c>
      <c r="D20" s="29">
        <f>D14</f>
        <v>80.234572</v>
      </c>
      <c r="E20" s="28" t="s">
        <v>362</v>
      </c>
    </row>
    <row r="21" spans="1:5" ht="15" customHeight="1" x14ac:dyDescent="0.3">
      <c r="A21" s="26" t="s">
        <v>386</v>
      </c>
      <c r="B21" s="26" t="s">
        <v>158</v>
      </c>
      <c r="C21" s="52">
        <v>3500</v>
      </c>
      <c r="D21" s="29">
        <f>D15</f>
        <v>90.631287999999984</v>
      </c>
      <c r="E21" s="28" t="s">
        <v>362</v>
      </c>
    </row>
    <row r="22" spans="1:5" ht="15" customHeight="1" x14ac:dyDescent="0.3">
      <c r="A22" s="26" t="s">
        <v>387</v>
      </c>
      <c r="B22" s="26" t="s">
        <v>239</v>
      </c>
      <c r="C22" s="52">
        <v>4505</v>
      </c>
      <c r="D22" s="29">
        <f>D13</f>
        <v>36.367900000000006</v>
      </c>
      <c r="E22" s="28" t="s">
        <v>360</v>
      </c>
    </row>
    <row r="23" spans="1:5" ht="15" customHeight="1" x14ac:dyDescent="0.3">
      <c r="A23" s="26" t="s">
        <v>388</v>
      </c>
      <c r="B23" s="26" t="s">
        <v>239</v>
      </c>
      <c r="C23" s="52">
        <v>5000</v>
      </c>
      <c r="D23" s="53">
        <v>0</v>
      </c>
      <c r="E23" s="28" t="s">
        <v>389</v>
      </c>
    </row>
    <row r="24" spans="1:5" ht="15" customHeight="1" x14ac:dyDescent="0.3">
      <c r="A24" s="26" t="s">
        <v>390</v>
      </c>
      <c r="B24" s="26" t="s">
        <v>223</v>
      </c>
      <c r="C24" s="52">
        <v>7500</v>
      </c>
      <c r="D24" s="53">
        <v>0</v>
      </c>
      <c r="E24" s="28" t="s">
        <v>391</v>
      </c>
    </row>
    <row r="25" spans="1:5" ht="15" customHeight="1" x14ac:dyDescent="0.3">
      <c r="A25" s="26" t="s">
        <v>392</v>
      </c>
      <c r="B25" s="26" t="s">
        <v>237</v>
      </c>
      <c r="C25" s="52">
        <v>3000</v>
      </c>
      <c r="D25" s="53">
        <v>0</v>
      </c>
      <c r="E25" s="28" t="s">
        <v>393</v>
      </c>
    </row>
    <row r="27" spans="1:5" ht="15" customHeight="1" x14ac:dyDescent="0.3">
      <c r="A27" s="49" t="s">
        <v>394</v>
      </c>
      <c r="D27" s="29">
        <f>SUMPRODUCT(($B$19:$B$25="MG")*$C$19:$C$25*$D$19:$D$25)/SUMIFS($C$19:$C$25,$B$19:$B$25,"MG")</f>
        <v>107.33122123287671</v>
      </c>
    </row>
    <row r="28" spans="1:5" ht="15" customHeight="1" x14ac:dyDescent="0.3">
      <c r="A28" s="49" t="s">
        <v>395</v>
      </c>
      <c r="D28" s="29">
        <f>SUMPRODUCT(($B$19:$B$25="RJ")*$C$19:$C$25*$D$19:$D$25)/SUMIFS($C$19:$C$25,$B$19:$B$25,"RJ")</f>
        <v>17.236968911099424</v>
      </c>
    </row>
    <row r="29" spans="1:5" ht="15" customHeight="1" x14ac:dyDescent="0.3">
      <c r="A29" s="49" t="s">
        <v>396</v>
      </c>
      <c r="D29" s="54">
        <f>Premissas!C23</f>
        <v>5.3920000000000003</v>
      </c>
    </row>
    <row r="30" spans="1:5" ht="15" customHeight="1" x14ac:dyDescent="0.3">
      <c r="A30" s="49" t="s">
        <v>397</v>
      </c>
      <c r="D30" s="29">
        <f>D27/D29</f>
        <v>19.905641920043898</v>
      </c>
    </row>
    <row r="31" spans="1:5" ht="15" customHeight="1" x14ac:dyDescent="0.3">
      <c r="A31" s="49" t="s">
        <v>398</v>
      </c>
      <c r="D31" s="29">
        <f>D28/D29</f>
        <v>3.196767231286985</v>
      </c>
    </row>
    <row r="33" spans="1:1" ht="15" customHeight="1" x14ac:dyDescent="0.3">
      <c r="A33" s="28" t="s">
        <v>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1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20" customWidth="1"/>
    <col min="3" max="4" width="14" customWidth="1"/>
  </cols>
  <sheetData>
    <row r="1" spans="1:4" ht="15" customHeight="1" x14ac:dyDescent="0.3">
      <c r="A1" s="44" t="s">
        <v>400</v>
      </c>
    </row>
    <row r="2" spans="1:4" ht="241.5" customHeight="1" x14ac:dyDescent="0.3">
      <c r="A2" s="45" t="s">
        <v>401</v>
      </c>
    </row>
    <row r="4" spans="1:4" ht="15" customHeight="1" x14ac:dyDescent="0.3">
      <c r="A4" s="46" t="s">
        <v>126</v>
      </c>
      <c r="B4" s="46" t="s">
        <v>402</v>
      </c>
      <c r="C4" s="46" t="s">
        <v>403</v>
      </c>
      <c r="D4" s="46" t="s">
        <v>404</v>
      </c>
    </row>
    <row r="5" spans="1:4" ht="15" customHeight="1" x14ac:dyDescent="0.3">
      <c r="A5" s="26" t="s">
        <v>221</v>
      </c>
      <c r="B5" s="53">
        <v>0</v>
      </c>
      <c r="C5" s="29">
        <f>CM_Comex!$D$9+B5</f>
        <v>198.14514505370045</v>
      </c>
      <c r="D5" s="29">
        <f>C5/Premissas!$C$35</f>
        <v>6.3954263287481519</v>
      </c>
    </row>
    <row r="6" spans="1:4" ht="15" customHeight="1" x14ac:dyDescent="0.3">
      <c r="A6" s="26" t="s">
        <v>243</v>
      </c>
      <c r="B6" s="53">
        <v>0</v>
      </c>
      <c r="C6" s="29">
        <f>CM_Comex!$D$9+B6</f>
        <v>198.14514505370045</v>
      </c>
      <c r="D6" s="29">
        <f>C6/Premissas!$C$35</f>
        <v>6.3954263287481519</v>
      </c>
    </row>
    <row r="7" spans="1:4" ht="15" customHeight="1" x14ac:dyDescent="0.3">
      <c r="A7" s="26" t="s">
        <v>273</v>
      </c>
      <c r="B7" s="53">
        <v>0</v>
      </c>
      <c r="C7" s="29">
        <f>CM_Comex!$D$9+B7</f>
        <v>198.14514505370045</v>
      </c>
      <c r="D7" s="29">
        <f>C7/Premissas!$C$35</f>
        <v>6.3954263287481519</v>
      </c>
    </row>
    <row r="8" spans="1:4" ht="15" customHeight="1" x14ac:dyDescent="0.3">
      <c r="A8" s="26" t="s">
        <v>144</v>
      </c>
      <c r="B8" s="53">
        <v>0</v>
      </c>
      <c r="C8" s="29">
        <f>CM_Comex!$D$9+B8</f>
        <v>198.14514505370045</v>
      </c>
      <c r="D8" s="29">
        <f>C8/Premissas!$C$35</f>
        <v>6.3954263287481519</v>
      </c>
    </row>
    <row r="9" spans="1:4" ht="15" customHeight="1" x14ac:dyDescent="0.3">
      <c r="A9" s="26" t="s">
        <v>197</v>
      </c>
      <c r="B9" s="53">
        <v>0</v>
      </c>
      <c r="C9" s="29">
        <f>CM_Comex!$D$9+B9</f>
        <v>198.14514505370045</v>
      </c>
      <c r="D9" s="29">
        <f>C9/Premissas!$C$35</f>
        <v>6.3954263287481519</v>
      </c>
    </row>
    <row r="10" spans="1:4" ht="15" customHeight="1" x14ac:dyDescent="0.3">
      <c r="A10" s="26" t="s">
        <v>237</v>
      </c>
      <c r="B10" s="53">
        <v>0</v>
      </c>
      <c r="C10" s="29">
        <f>CM_Comex!$D$9+B10</f>
        <v>198.14514505370045</v>
      </c>
      <c r="D10" s="29">
        <f>C10/Premissas!$C$35</f>
        <v>6.3954263287481519</v>
      </c>
    </row>
    <row r="11" spans="1:4" ht="15" customHeight="1" x14ac:dyDescent="0.3">
      <c r="A11" s="26" t="s">
        <v>262</v>
      </c>
      <c r="B11" s="53">
        <v>0</v>
      </c>
      <c r="C11" s="29">
        <f>CM_Comex!$D$9+B11</f>
        <v>198.14514505370045</v>
      </c>
      <c r="D11" s="29">
        <f>C11/Premissas!$C$35</f>
        <v>6.3954263287481519</v>
      </c>
    </row>
    <row r="12" spans="1:4" ht="15" customHeight="1" x14ac:dyDescent="0.3">
      <c r="A12" s="26" t="s">
        <v>223</v>
      </c>
      <c r="B12" s="53">
        <v>0</v>
      </c>
      <c r="C12" s="29">
        <f>CM_Comex!$D$9+B12</f>
        <v>198.14514505370045</v>
      </c>
      <c r="D12" s="29">
        <f>C12/Premissas!$C$35</f>
        <v>6.3954263287481519</v>
      </c>
    </row>
    <row r="13" spans="1:4" ht="15" customHeight="1" x14ac:dyDescent="0.3">
      <c r="A13" s="26" t="s">
        <v>193</v>
      </c>
      <c r="B13" s="53">
        <v>0</v>
      </c>
      <c r="C13" s="29">
        <f>CM_Comex!$D$9+B13</f>
        <v>198.14514505370045</v>
      </c>
      <c r="D13" s="29">
        <f>C13/Premissas!$C$35</f>
        <v>6.3954263287481519</v>
      </c>
    </row>
    <row r="14" spans="1:4" ht="15" customHeight="1" x14ac:dyDescent="0.3">
      <c r="A14" s="26" t="s">
        <v>246</v>
      </c>
      <c r="B14" s="53">
        <v>0</v>
      </c>
      <c r="C14" s="29">
        <f>CM_Comex!$D$9+B14</f>
        <v>198.14514505370045</v>
      </c>
      <c r="D14" s="29">
        <f>C14/Premissas!$C$35</f>
        <v>6.3954263287481519</v>
      </c>
    </row>
    <row r="15" spans="1:4" ht="15" customHeight="1" x14ac:dyDescent="0.3">
      <c r="A15" s="26" t="s">
        <v>158</v>
      </c>
      <c r="B15" s="55">
        <f>CM_Frete!D30</f>
        <v>19.905641920043898</v>
      </c>
      <c r="C15" s="29">
        <f>CM_Comex!$D$9+B15</f>
        <v>218.05078697374435</v>
      </c>
      <c r="D15" s="29">
        <f>C15/Premissas!$C$35</f>
        <v>7.0379102331182537</v>
      </c>
    </row>
    <row r="16" spans="1:4" ht="15" customHeight="1" x14ac:dyDescent="0.3">
      <c r="A16" s="26" t="s">
        <v>233</v>
      </c>
      <c r="B16" s="53">
        <v>0</v>
      </c>
      <c r="C16" s="29">
        <f>CM_Comex!$D$9+B16</f>
        <v>198.14514505370045</v>
      </c>
      <c r="D16" s="29">
        <f>C16/Premissas!$C$35</f>
        <v>6.3954263287481519</v>
      </c>
    </row>
    <row r="17" spans="1:4" ht="15" customHeight="1" x14ac:dyDescent="0.3">
      <c r="A17" s="26" t="s">
        <v>235</v>
      </c>
      <c r="B17" s="53">
        <v>0</v>
      </c>
      <c r="C17" s="29">
        <f>CM_Comex!$D$9+B17</f>
        <v>198.14514505370045</v>
      </c>
      <c r="D17" s="29">
        <f>C17/Premissas!$C$35</f>
        <v>6.3954263287481519</v>
      </c>
    </row>
    <row r="18" spans="1:4" ht="15" customHeight="1" x14ac:dyDescent="0.3">
      <c r="A18" s="26" t="s">
        <v>248</v>
      </c>
      <c r="B18" s="53">
        <v>0</v>
      </c>
      <c r="C18" s="29">
        <f>CM_Comex!$D$9+B18</f>
        <v>198.14514505370045</v>
      </c>
      <c r="D18" s="29">
        <f>C18/Premissas!$C$35</f>
        <v>6.3954263287481519</v>
      </c>
    </row>
    <row r="19" spans="1:4" ht="15" customHeight="1" x14ac:dyDescent="0.3">
      <c r="A19" s="26" t="s">
        <v>241</v>
      </c>
      <c r="B19" s="53">
        <v>0</v>
      </c>
      <c r="C19" s="29">
        <f>CM_Comex!$D$9+B19</f>
        <v>198.14514505370045</v>
      </c>
      <c r="D19" s="29">
        <f>C19/Premissas!$C$35</f>
        <v>6.3954263287481519</v>
      </c>
    </row>
    <row r="20" spans="1:4" ht="15" customHeight="1" x14ac:dyDescent="0.3">
      <c r="A20" s="26" t="s">
        <v>264</v>
      </c>
      <c r="B20" s="53">
        <v>0</v>
      </c>
      <c r="C20" s="29">
        <f>CM_Comex!$D$9+B20</f>
        <v>198.14514505370045</v>
      </c>
      <c r="D20" s="29">
        <f>C20/Premissas!$C$35</f>
        <v>6.3954263287481519</v>
      </c>
    </row>
    <row r="21" spans="1:4" ht="15" customHeight="1" x14ac:dyDescent="0.3">
      <c r="A21" s="26" t="s">
        <v>250</v>
      </c>
      <c r="B21" s="53">
        <v>0</v>
      </c>
      <c r="C21" s="29">
        <f>CM_Comex!$D$9+B21</f>
        <v>198.14514505370045</v>
      </c>
      <c r="D21" s="29">
        <f>C21/Premissas!$C$35</f>
        <v>6.3954263287481519</v>
      </c>
    </row>
    <row r="22" spans="1:4" ht="15" customHeight="1" x14ac:dyDescent="0.3">
      <c r="A22" s="26" t="s">
        <v>141</v>
      </c>
      <c r="B22" s="53">
        <v>0</v>
      </c>
      <c r="C22" s="29">
        <f>CM_Comex!$D$9+B22</f>
        <v>198.14514505370045</v>
      </c>
      <c r="D22" s="29">
        <f>C22/Premissas!$C$35</f>
        <v>6.3954263287481519</v>
      </c>
    </row>
    <row r="23" spans="1:4" ht="15" customHeight="1" x14ac:dyDescent="0.3">
      <c r="A23" s="26" t="s">
        <v>239</v>
      </c>
      <c r="B23" s="55">
        <f>CM_Frete!D31</f>
        <v>3.196767231286985</v>
      </c>
      <c r="C23" s="29">
        <f>CM_Comex!$D$9+B23</f>
        <v>201.34191228498744</v>
      </c>
      <c r="D23" s="29">
        <f>C23/Premissas!$C$35</f>
        <v>6.4986066984327655</v>
      </c>
    </row>
    <row r="24" spans="1:4" ht="15" customHeight="1" x14ac:dyDescent="0.3">
      <c r="A24" s="26" t="s">
        <v>210</v>
      </c>
      <c r="B24" s="53">
        <v>0</v>
      </c>
      <c r="C24" s="29">
        <f>CM_Comex!$D$9+B24</f>
        <v>198.14514505370045</v>
      </c>
      <c r="D24" s="29">
        <f>C24/Premissas!$C$35</f>
        <v>6.3954263287481519</v>
      </c>
    </row>
    <row r="25" spans="1:4" ht="15" customHeight="1" x14ac:dyDescent="0.3">
      <c r="A25" s="26" t="s">
        <v>252</v>
      </c>
      <c r="B25" s="53">
        <v>0</v>
      </c>
      <c r="C25" s="29">
        <f>CM_Comex!$D$9+B25</f>
        <v>198.14514505370045</v>
      </c>
      <c r="D25" s="29">
        <f>C25/Premissas!$C$35</f>
        <v>6.3954263287481519</v>
      </c>
    </row>
    <row r="26" spans="1:4" ht="15" customHeight="1" x14ac:dyDescent="0.3">
      <c r="A26" s="26" t="s">
        <v>271</v>
      </c>
      <c r="B26" s="53">
        <v>0</v>
      </c>
      <c r="C26" s="29">
        <f>CM_Comex!$D$9+B26</f>
        <v>198.14514505370045</v>
      </c>
      <c r="D26" s="29">
        <f>C26/Premissas!$C$35</f>
        <v>6.3954263287481519</v>
      </c>
    </row>
    <row r="27" spans="1:4" ht="15" customHeight="1" x14ac:dyDescent="0.3">
      <c r="A27" s="26" t="s">
        <v>151</v>
      </c>
      <c r="B27" s="53">
        <v>0</v>
      </c>
      <c r="C27" s="29">
        <f>CM_Comex!$D$9+B27</f>
        <v>198.14514505370045</v>
      </c>
      <c r="D27" s="29">
        <f>C27/Premissas!$C$35</f>
        <v>6.3954263287481519</v>
      </c>
    </row>
    <row r="28" spans="1:4" ht="15" customHeight="1" x14ac:dyDescent="0.3">
      <c r="A28" s="26" t="s">
        <v>155</v>
      </c>
      <c r="B28" s="53">
        <v>0</v>
      </c>
      <c r="C28" s="29">
        <f>CM_Comex!$D$9+B28</f>
        <v>198.14514505370045</v>
      </c>
      <c r="D28" s="29">
        <f>C28/Premissas!$C$35</f>
        <v>6.3954263287481519</v>
      </c>
    </row>
    <row r="29" spans="1:4" ht="15" customHeight="1" x14ac:dyDescent="0.3">
      <c r="A29" s="26" t="s">
        <v>254</v>
      </c>
      <c r="B29" s="53">
        <v>0</v>
      </c>
      <c r="C29" s="29">
        <f>CM_Comex!$D$9+B29</f>
        <v>198.14514505370045</v>
      </c>
      <c r="D29" s="29">
        <f>C29/Premissas!$C$35</f>
        <v>6.3954263287481519</v>
      </c>
    </row>
    <row r="30" spans="1:4" ht="15" customHeight="1" x14ac:dyDescent="0.3">
      <c r="A30" s="26" t="s">
        <v>212</v>
      </c>
      <c r="B30" s="53">
        <v>0</v>
      </c>
      <c r="C30" s="29">
        <f>CM_Comex!$D$9+B30</f>
        <v>198.14514505370045</v>
      </c>
      <c r="D30" s="29">
        <f>C30/Premissas!$C$35</f>
        <v>6.3954263287481519</v>
      </c>
    </row>
    <row r="31" spans="1:4" ht="15" customHeight="1" x14ac:dyDescent="0.3">
      <c r="A31" s="26" t="s">
        <v>257</v>
      </c>
      <c r="B31" s="53">
        <v>0</v>
      </c>
      <c r="C31" s="29">
        <f>CM_Comex!$D$9+B31</f>
        <v>198.14514505370045</v>
      </c>
      <c r="D31" s="29">
        <f>C31/Premissas!$C$35</f>
        <v>6.3954263287481519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4"/>
  <sheetViews>
    <sheetView zoomScaleNormal="100" workbookViewId="0"/>
  </sheetViews>
  <sheetFormatPr defaultColWidth="8.6640625" defaultRowHeight="14.4" x14ac:dyDescent="0.3"/>
  <cols>
    <col min="1" max="1" width="8" customWidth="1"/>
    <col min="2" max="3" width="18" customWidth="1"/>
    <col min="4" max="4" width="14" customWidth="1"/>
  </cols>
  <sheetData>
    <row r="1" spans="1:4" ht="15" customHeight="1" x14ac:dyDescent="0.3">
      <c r="A1" s="44" t="s">
        <v>405</v>
      </c>
    </row>
    <row r="2" spans="1:4" ht="409.6" customHeight="1" x14ac:dyDescent="0.3">
      <c r="A2" s="45" t="s">
        <v>406</v>
      </c>
    </row>
    <row r="4" spans="1:4" ht="15" customHeight="1" x14ac:dyDescent="0.3">
      <c r="A4" s="46" t="s">
        <v>126</v>
      </c>
      <c r="B4" s="46" t="s">
        <v>407</v>
      </c>
      <c r="C4" s="46" t="s">
        <v>296</v>
      </c>
      <c r="D4" s="46" t="s">
        <v>404</v>
      </c>
    </row>
    <row r="5" spans="1:4" ht="15" customHeight="1" x14ac:dyDescent="0.3">
      <c r="A5" s="26" t="s">
        <v>221</v>
      </c>
      <c r="B5" s="56">
        <v>7.3250000000000002</v>
      </c>
      <c r="C5" s="57">
        <f t="shared" ref="C5:C31" si="0">B5/$B$33</f>
        <v>1.2086793905725757</v>
      </c>
      <c r="D5" s="29">
        <f>C5*Premissas!$C$39</f>
        <v>26.590946592596666</v>
      </c>
    </row>
    <row r="6" spans="1:4" ht="15" customHeight="1" x14ac:dyDescent="0.3">
      <c r="A6" s="26" t="s">
        <v>243</v>
      </c>
      <c r="B6" s="56">
        <v>6.0350000000000001</v>
      </c>
      <c r="C6" s="57">
        <f t="shared" si="0"/>
        <v>0.99581981189153501</v>
      </c>
      <c r="D6" s="29">
        <f>C6*Premissas!$C$39</f>
        <v>21.908035861613769</v>
      </c>
    </row>
    <row r="7" spans="1:4" ht="15" customHeight="1" x14ac:dyDescent="0.3">
      <c r="A7" s="26" t="s">
        <v>273</v>
      </c>
      <c r="B7" s="56">
        <v>6.2839999999999998</v>
      </c>
      <c r="C7" s="57">
        <f t="shared" si="0"/>
        <v>1.0369066607997357</v>
      </c>
      <c r="D7" s="29">
        <f>C7*Premissas!$C$39</f>
        <v>22.811946537594185</v>
      </c>
    </row>
    <row r="8" spans="1:4" ht="15" customHeight="1" x14ac:dyDescent="0.3">
      <c r="A8" s="26" t="s">
        <v>144</v>
      </c>
      <c r="B8" s="56">
        <v>6.4669999999999996</v>
      </c>
      <c r="C8" s="57">
        <f t="shared" si="0"/>
        <v>1.0671030196358835</v>
      </c>
      <c r="D8" s="29">
        <f>C8*Premissas!$C$39</f>
        <v>23.476266431989437</v>
      </c>
    </row>
    <row r="9" spans="1:4" ht="15" customHeight="1" x14ac:dyDescent="0.3">
      <c r="A9" s="26" t="s">
        <v>197</v>
      </c>
      <c r="B9" s="56">
        <v>5.9409999999999998</v>
      </c>
      <c r="C9" s="57">
        <f t="shared" si="0"/>
        <v>0.98030911391012576</v>
      </c>
      <c r="D9" s="29">
        <f>C9*Premissas!$C$39</f>
        <v>21.566800506022766</v>
      </c>
    </row>
    <row r="10" spans="1:4" ht="15" customHeight="1" x14ac:dyDescent="0.3">
      <c r="A10" s="26" t="s">
        <v>237</v>
      </c>
      <c r="B10" s="56">
        <v>6.1710000000000003</v>
      </c>
      <c r="C10" s="57">
        <f t="shared" si="0"/>
        <v>1.018260821736978</v>
      </c>
      <c r="D10" s="29">
        <f>C10*Premissas!$C$39</f>
        <v>22.401738078213516</v>
      </c>
    </row>
    <row r="11" spans="1:4" ht="15" customHeight="1" x14ac:dyDescent="0.3">
      <c r="A11" s="26" t="s">
        <v>262</v>
      </c>
      <c r="B11" s="56">
        <v>5.8280000000000003</v>
      </c>
      <c r="C11" s="57">
        <f t="shared" si="0"/>
        <v>0.96166327484736802</v>
      </c>
      <c r="D11" s="29">
        <f>C11*Premissas!$C$39</f>
        <v>21.156592046642096</v>
      </c>
    </row>
    <row r="12" spans="1:4" ht="15" customHeight="1" x14ac:dyDescent="0.3">
      <c r="A12" s="26" t="s">
        <v>223</v>
      </c>
      <c r="B12" s="56">
        <v>5.883</v>
      </c>
      <c r="C12" s="57">
        <f t="shared" si="0"/>
        <v>0.97073868324074564</v>
      </c>
      <c r="D12" s="29">
        <f>C12*Premissas!$C$39</f>
        <v>21.356251031296402</v>
      </c>
    </row>
    <row r="13" spans="1:4" ht="15" customHeight="1" x14ac:dyDescent="0.3">
      <c r="A13" s="26" t="s">
        <v>193</v>
      </c>
      <c r="B13" s="56">
        <v>5.8230000000000004</v>
      </c>
      <c r="C13" s="57">
        <f t="shared" si="0"/>
        <v>0.96083823772069732</v>
      </c>
      <c r="D13" s="29">
        <f>C13*Premissas!$C$39</f>
        <v>21.138441229855342</v>
      </c>
    </row>
    <row r="14" spans="1:4" ht="15" customHeight="1" x14ac:dyDescent="0.3">
      <c r="A14" s="26" t="s">
        <v>246</v>
      </c>
      <c r="B14" s="56">
        <v>5.8120000000000003</v>
      </c>
      <c r="C14" s="57">
        <f t="shared" si="0"/>
        <v>0.95902315604202182</v>
      </c>
      <c r="D14" s="29">
        <f>C14*Premissas!$C$39</f>
        <v>21.09850943292448</v>
      </c>
    </row>
    <row r="15" spans="1:4" ht="15" customHeight="1" x14ac:dyDescent="0.3">
      <c r="A15" s="26" t="s">
        <v>158</v>
      </c>
      <c r="B15" s="56">
        <v>5.78</v>
      </c>
      <c r="C15" s="57">
        <f t="shared" si="0"/>
        <v>0.9537429184313293</v>
      </c>
      <c r="D15" s="29">
        <f>C15*Premissas!$C$39</f>
        <v>20.982344205489245</v>
      </c>
    </row>
    <row r="16" spans="1:4" ht="15" customHeight="1" x14ac:dyDescent="0.3">
      <c r="A16" s="26" t="s">
        <v>233</v>
      </c>
      <c r="B16" s="56">
        <v>5.9340000000000002</v>
      </c>
      <c r="C16" s="57">
        <f t="shared" si="0"/>
        <v>0.97915406193278687</v>
      </c>
      <c r="D16" s="29">
        <f>C16*Premissas!$C$39</f>
        <v>21.541389362521311</v>
      </c>
    </row>
    <row r="17" spans="1:4" ht="15" customHeight="1" x14ac:dyDescent="0.3">
      <c r="A17" s="26" t="s">
        <v>235</v>
      </c>
      <c r="B17" s="56">
        <v>6.0330000000000004</v>
      </c>
      <c r="C17" s="57">
        <f t="shared" si="0"/>
        <v>0.99548979704086671</v>
      </c>
      <c r="D17" s="29">
        <f>C17*Premissas!$C$39</f>
        <v>21.900775534899068</v>
      </c>
    </row>
    <row r="18" spans="1:4" ht="15" customHeight="1" x14ac:dyDescent="0.3">
      <c r="A18" s="26" t="s">
        <v>248</v>
      </c>
      <c r="B18" s="56">
        <v>6.3390000000000004</v>
      </c>
      <c r="C18" s="57">
        <f t="shared" si="0"/>
        <v>1.0459820691931137</v>
      </c>
      <c r="D18" s="29">
        <f>C18*Premissas!$C$39</f>
        <v>23.011605522248502</v>
      </c>
    </row>
    <row r="19" spans="1:4" ht="15" customHeight="1" x14ac:dyDescent="0.3">
      <c r="A19" s="26" t="s">
        <v>241</v>
      </c>
      <c r="B19" s="56">
        <v>5.7869999999999999</v>
      </c>
      <c r="C19" s="57">
        <f t="shared" si="0"/>
        <v>0.9548979704086682</v>
      </c>
      <c r="D19" s="29">
        <f>C19*Premissas!$C$39</f>
        <v>21.007755348990699</v>
      </c>
    </row>
    <row r="20" spans="1:4" ht="15" customHeight="1" x14ac:dyDescent="0.3">
      <c r="A20" s="26" t="s">
        <v>264</v>
      </c>
      <c r="B20" s="56">
        <v>6.0380000000000003</v>
      </c>
      <c r="C20" s="57">
        <f t="shared" si="0"/>
        <v>0.99631483416753741</v>
      </c>
      <c r="D20" s="29">
        <f>C20*Premissas!$C$39</f>
        <v>21.918926351685823</v>
      </c>
    </row>
    <row r="21" spans="1:4" ht="15" customHeight="1" x14ac:dyDescent="0.3">
      <c r="A21" s="26" t="s">
        <v>250</v>
      </c>
      <c r="B21" s="56">
        <v>5.899</v>
      </c>
      <c r="C21" s="57">
        <f t="shared" si="0"/>
        <v>0.97337880204609195</v>
      </c>
      <c r="D21" s="29">
        <f>C21*Premissas!$C$39</f>
        <v>21.414333645014022</v>
      </c>
    </row>
    <row r="22" spans="1:4" ht="15" customHeight="1" x14ac:dyDescent="0.3">
      <c r="A22" s="26" t="s">
        <v>141</v>
      </c>
      <c r="B22" s="56">
        <v>5.8250000000000002</v>
      </c>
      <c r="C22" s="57">
        <f t="shared" si="0"/>
        <v>0.96116825257136562</v>
      </c>
      <c r="D22" s="29">
        <f>C22*Premissas!$C$39</f>
        <v>21.145701556570042</v>
      </c>
    </row>
    <row r="23" spans="1:4" ht="15" customHeight="1" x14ac:dyDescent="0.3">
      <c r="A23" s="26" t="s">
        <v>239</v>
      </c>
      <c r="B23" s="56">
        <v>5.9480000000000004</v>
      </c>
      <c r="C23" s="57">
        <f t="shared" si="0"/>
        <v>0.98146416588746488</v>
      </c>
      <c r="D23" s="29">
        <f>C23*Premissas!$C$39</f>
        <v>21.592211649524227</v>
      </c>
    </row>
    <row r="24" spans="1:4" ht="15" customHeight="1" x14ac:dyDescent="0.3">
      <c r="A24" s="26" t="s">
        <v>210</v>
      </c>
      <c r="B24" s="56">
        <v>6.0330000000000004</v>
      </c>
      <c r="C24" s="57">
        <f t="shared" si="0"/>
        <v>0.99548979704086671</v>
      </c>
      <c r="D24" s="29">
        <f>C24*Premissas!$C$39</f>
        <v>21.900775534899068</v>
      </c>
    </row>
    <row r="25" spans="1:4" ht="15" customHeight="1" x14ac:dyDescent="0.3">
      <c r="A25" s="26" t="s">
        <v>252</v>
      </c>
      <c r="B25" s="56">
        <v>6.5220000000000002</v>
      </c>
      <c r="C25" s="57">
        <f t="shared" si="0"/>
        <v>1.0761784280292612</v>
      </c>
      <c r="D25" s="29">
        <f>C25*Premissas!$C$39</f>
        <v>23.675925416643747</v>
      </c>
    </row>
    <row r="26" spans="1:4" ht="15" customHeight="1" x14ac:dyDescent="0.3">
      <c r="A26" s="26" t="s">
        <v>271</v>
      </c>
      <c r="B26" s="56">
        <v>6.5609999999999999</v>
      </c>
      <c r="C26" s="57">
        <f t="shared" si="0"/>
        <v>1.0826137176172925</v>
      </c>
      <c r="D26" s="29">
        <f>C26*Premissas!$C$39</f>
        <v>23.817501787580436</v>
      </c>
    </row>
    <row r="27" spans="1:4" ht="15" customHeight="1" x14ac:dyDescent="0.3">
      <c r="A27" s="26" t="s">
        <v>151</v>
      </c>
      <c r="B27" s="56">
        <v>5.9710000000000001</v>
      </c>
      <c r="C27" s="57">
        <f t="shared" si="0"/>
        <v>0.98525933667014998</v>
      </c>
      <c r="D27" s="29">
        <f>C27*Premissas!$C$39</f>
        <v>21.675705406743301</v>
      </c>
    </row>
    <row r="28" spans="1:4" ht="15" customHeight="1" x14ac:dyDescent="0.3">
      <c r="A28" s="26" t="s">
        <v>155</v>
      </c>
      <c r="B28" s="56">
        <v>5.9390000000000001</v>
      </c>
      <c r="C28" s="57">
        <f t="shared" si="0"/>
        <v>0.97997909905945757</v>
      </c>
      <c r="D28" s="29">
        <f>C28*Premissas!$C$39</f>
        <v>21.559540179308065</v>
      </c>
    </row>
    <row r="29" spans="1:4" ht="15" customHeight="1" x14ac:dyDescent="0.3">
      <c r="A29" s="26" t="s">
        <v>254</v>
      </c>
      <c r="B29" s="56">
        <v>5.67</v>
      </c>
      <c r="C29" s="57">
        <f t="shared" si="0"/>
        <v>0.93559210164457385</v>
      </c>
      <c r="D29" s="29">
        <f>C29*Premissas!$C$39</f>
        <v>20.583026236180626</v>
      </c>
    </row>
    <row r="30" spans="1:4" ht="15" customHeight="1" x14ac:dyDescent="0.3">
      <c r="A30" s="26" t="s">
        <v>212</v>
      </c>
      <c r="B30" s="56">
        <v>5.9189999999999996</v>
      </c>
      <c r="C30" s="57">
        <f t="shared" si="0"/>
        <v>0.97667895055277465</v>
      </c>
      <c r="D30" s="29">
        <f>C30*Premissas!$C$39</f>
        <v>21.486936912161042</v>
      </c>
    </row>
    <row r="31" spans="1:4" ht="15" customHeight="1" x14ac:dyDescent="0.3">
      <c r="A31" s="26" t="s">
        <v>257</v>
      </c>
      <c r="B31" s="56">
        <v>5.8620000000000001</v>
      </c>
      <c r="C31" s="57">
        <f t="shared" si="0"/>
        <v>0.96727352730872873</v>
      </c>
      <c r="D31" s="29">
        <f>C31*Premissas!$C$39</f>
        <v>21.280017600792032</v>
      </c>
    </row>
    <row r="33" spans="1:2" ht="15" customHeight="1" x14ac:dyDescent="0.3">
      <c r="A33" s="49" t="s">
        <v>408</v>
      </c>
      <c r="B33" s="57">
        <f>AVERAGE(B5:B31)</f>
        <v>6.0603333333333342</v>
      </c>
    </row>
    <row r="34" spans="1:2" ht="15" customHeight="1" x14ac:dyDescent="0.3">
      <c r="A34" s="28" t="s">
        <v>409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zoomScaleNormal="100" workbookViewId="0">
      <selection activeCell="A2" sqref="A2:G2"/>
    </sheetView>
  </sheetViews>
  <sheetFormatPr defaultColWidth="8.6640625" defaultRowHeight="14.4" x14ac:dyDescent="0.3"/>
  <cols>
    <col min="1" max="1" width="8" customWidth="1"/>
    <col min="2" max="2" width="14" customWidth="1"/>
    <col min="3" max="3" width="20" customWidth="1"/>
    <col min="4" max="4" width="16" customWidth="1"/>
  </cols>
  <sheetData>
    <row r="1" spans="1:7" ht="15" customHeight="1" x14ac:dyDescent="0.3">
      <c r="A1" s="44" t="s">
        <v>410</v>
      </c>
    </row>
    <row r="2" spans="1:7" ht="66" customHeight="1" x14ac:dyDescent="0.3">
      <c r="A2" s="62" t="s">
        <v>411</v>
      </c>
      <c r="B2" s="62"/>
      <c r="C2" s="62"/>
      <c r="D2" s="62"/>
      <c r="E2" s="62"/>
      <c r="F2" s="62"/>
      <c r="G2" s="62"/>
    </row>
    <row r="4" spans="1:7" ht="15" customHeight="1" x14ac:dyDescent="0.3">
      <c r="A4" s="46" t="s">
        <v>126</v>
      </c>
      <c r="B4" s="46" t="s">
        <v>412</v>
      </c>
      <c r="C4" s="46" t="s">
        <v>413</v>
      </c>
      <c r="D4" s="46" t="s">
        <v>414</v>
      </c>
    </row>
    <row r="5" spans="1:7" ht="15" customHeight="1" x14ac:dyDescent="0.3">
      <c r="A5" s="26" t="s">
        <v>221</v>
      </c>
      <c r="B5" s="55">
        <f>EE_por_UF!J5</f>
        <v>24.432975786579298</v>
      </c>
      <c r="C5" s="57">
        <f t="shared" ref="C5:C31" si="0">B5/$B$33</f>
        <v>0.8563814197566475</v>
      </c>
      <c r="D5" s="29">
        <f>Premissas!$C$42*(Premissas!$C$43*C5+(1-Premissas!$C$43))</f>
        <v>37.298336284551112</v>
      </c>
    </row>
    <row r="6" spans="1:7" ht="15" customHeight="1" x14ac:dyDescent="0.3">
      <c r="A6" s="26" t="s">
        <v>243</v>
      </c>
      <c r="B6" s="55">
        <f>EE_por_UF!J6</f>
        <v>30.929157247701209</v>
      </c>
      <c r="C6" s="57">
        <f t="shared" si="0"/>
        <v>1.0840740737856418</v>
      </c>
      <c r="D6" s="29">
        <f>Premissas!$C$42*(Premissas!$C$43*C6+(1-Premissas!$C$43))</f>
        <v>44.118186658027547</v>
      </c>
    </row>
    <row r="7" spans="1:7" ht="15" customHeight="1" x14ac:dyDescent="0.3">
      <c r="A7" s="26" t="s">
        <v>273</v>
      </c>
      <c r="B7" s="55">
        <f>EE_por_UF!J7</f>
        <v>36.820220463669912</v>
      </c>
      <c r="C7" s="57">
        <f t="shared" si="0"/>
        <v>1.2905571941732363</v>
      </c>
      <c r="D7" s="29">
        <f>Premissas!$C$42*(Premissas!$C$43*C7+(1-Premissas!$C$43))</f>
        <v>50.302769079876775</v>
      </c>
    </row>
    <row r="8" spans="1:7" ht="15" customHeight="1" x14ac:dyDescent="0.3">
      <c r="A8" s="26" t="s">
        <v>144</v>
      </c>
      <c r="B8" s="55">
        <f>EE_por_UF!J8</f>
        <v>29.359478348679328</v>
      </c>
      <c r="C8" s="57">
        <f t="shared" si="0"/>
        <v>1.0290564674224911</v>
      </c>
      <c r="D8" s="29">
        <f>Premissas!$C$42*(Premissas!$C$43*C8+(1-Premissas!$C$43))</f>
        <v>42.470299312238453</v>
      </c>
    </row>
    <row r="9" spans="1:7" ht="15" customHeight="1" x14ac:dyDescent="0.3">
      <c r="A9" s="26" t="s">
        <v>197</v>
      </c>
      <c r="B9" s="55">
        <f>EE_por_UF!J9</f>
        <v>28.221570261697355</v>
      </c>
      <c r="C9" s="57">
        <f t="shared" si="0"/>
        <v>0.98917252730834981</v>
      </c>
      <c r="D9" s="29">
        <f>Premissas!$C$42*(Premissas!$C$43*C9+(1-Premissas!$C$43))</f>
        <v>41.275695537939697</v>
      </c>
    </row>
    <row r="10" spans="1:7" ht="15" customHeight="1" x14ac:dyDescent="0.3">
      <c r="A10" s="26" t="s">
        <v>237</v>
      </c>
      <c r="B10" s="55">
        <f>EE_por_UF!J10</f>
        <v>25.120380752519686</v>
      </c>
      <c r="C10" s="57">
        <f t="shared" si="0"/>
        <v>0.88047512188371924</v>
      </c>
      <c r="D10" s="29">
        <f>Premissas!$C$42*(Premissas!$C$43*C10+(1-Premissas!$C$43))</f>
        <v>38.019990850661159</v>
      </c>
    </row>
    <row r="11" spans="1:7" ht="15" customHeight="1" x14ac:dyDescent="0.3">
      <c r="A11" s="26" t="s">
        <v>262</v>
      </c>
      <c r="B11" s="55">
        <f>EE_por_UF!J11</f>
        <v>34.21652014442958</v>
      </c>
      <c r="C11" s="57">
        <f t="shared" si="0"/>
        <v>1.1992968992550608</v>
      </c>
      <c r="D11" s="29">
        <f>Premissas!$C$42*(Premissas!$C$43*C11+(1-Premissas!$C$43))</f>
        <v>47.569340726487574</v>
      </c>
    </row>
    <row r="12" spans="1:7" ht="15" customHeight="1" x14ac:dyDescent="0.3">
      <c r="A12" s="26" t="s">
        <v>223</v>
      </c>
      <c r="B12" s="55">
        <f>EE_por_UF!J12</f>
        <v>29.508836817228747</v>
      </c>
      <c r="C12" s="57">
        <f t="shared" si="0"/>
        <v>1.0342915160905821</v>
      </c>
      <c r="D12" s="29">
        <f>Premissas!$C$42*(Premissas!$C$43*C12+(1-Premissas!$C$43))</f>
        <v>42.627099489945117</v>
      </c>
    </row>
    <row r="13" spans="1:7" ht="15" customHeight="1" x14ac:dyDescent="0.3">
      <c r="A13" s="26" t="s">
        <v>193</v>
      </c>
      <c r="B13" s="55">
        <f>EE_por_UF!J13</f>
        <v>26.458341141941396</v>
      </c>
      <c r="C13" s="57">
        <f t="shared" si="0"/>
        <v>0.92737094120100827</v>
      </c>
      <c r="D13" s="29">
        <f>Premissas!$C$42*(Premissas!$C$43*C13+(1-Premissas!$C$43))</f>
        <v>39.4246144308526</v>
      </c>
    </row>
    <row r="14" spans="1:7" ht="15" customHeight="1" x14ac:dyDescent="0.3">
      <c r="A14" s="26" t="s">
        <v>246</v>
      </c>
      <c r="B14" s="55">
        <f>EE_por_UF!J14</f>
        <v>24.021002464036624</v>
      </c>
      <c r="C14" s="57">
        <f t="shared" si="0"/>
        <v>0.84194166006700899</v>
      </c>
      <c r="D14" s="29">
        <f>Premissas!$C$42*(Premissas!$C$43*C14+(1-Premissas!$C$43))</f>
        <v>36.865836602327057</v>
      </c>
    </row>
    <row r="15" spans="1:7" ht="15" customHeight="1" x14ac:dyDescent="0.3">
      <c r="A15" s="26" t="s">
        <v>158</v>
      </c>
      <c r="B15" s="55">
        <f>EE_por_UF!J15</f>
        <v>30.406573179224697</v>
      </c>
      <c r="C15" s="57">
        <f t="shared" si="0"/>
        <v>1.0657573820157451</v>
      </c>
      <c r="D15" s="29">
        <f>Premissas!$C$42*(Premissas!$C$43*C15+(1-Premissas!$C$43))</f>
        <v>43.569565106135599</v>
      </c>
    </row>
    <row r="16" spans="1:7" ht="15" customHeight="1" x14ac:dyDescent="0.3">
      <c r="A16" s="26" t="s">
        <v>233</v>
      </c>
      <c r="B16" s="55">
        <f>EE_por_UF!J16</f>
        <v>31.73135017792416</v>
      </c>
      <c r="C16" s="57">
        <f t="shared" si="0"/>
        <v>1.1121911204566586</v>
      </c>
      <c r="D16" s="29">
        <f>Premissas!$C$42*(Premissas!$C$43*C16+(1-Premissas!$C$43))</f>
        <v>44.960348439917837</v>
      </c>
    </row>
    <row r="17" spans="1:4" ht="15" customHeight="1" x14ac:dyDescent="0.3">
      <c r="A17" s="26" t="s">
        <v>235</v>
      </c>
      <c r="B17" s="55">
        <f>EE_por_UF!J17</f>
        <v>33.060459182195423</v>
      </c>
      <c r="C17" s="57">
        <f t="shared" si="0"/>
        <v>1.1587766966890216</v>
      </c>
      <c r="D17" s="29">
        <f>Premissas!$C$42*(Premissas!$C$43*C17+(1-Premissas!$C$43))</f>
        <v>46.355679619229576</v>
      </c>
    </row>
    <row r="18" spans="1:4" ht="15" customHeight="1" x14ac:dyDescent="0.3">
      <c r="A18" s="26" t="s">
        <v>248</v>
      </c>
      <c r="B18" s="55">
        <f>EE_por_UF!J18</f>
        <v>31.436797220793125</v>
      </c>
      <c r="C18" s="57">
        <f t="shared" si="0"/>
        <v>1.101866971575868</v>
      </c>
      <c r="D18" s="29">
        <f>Premissas!$C$42*(Premissas!$C$43*C18+(1-Premissas!$C$43))</f>
        <v>44.651119532640401</v>
      </c>
    </row>
    <row r="19" spans="1:4" ht="15" customHeight="1" x14ac:dyDescent="0.3">
      <c r="A19" s="26" t="s">
        <v>241</v>
      </c>
      <c r="B19" s="55">
        <f>EE_por_UF!J19</f>
        <v>21.688882437683297</v>
      </c>
      <c r="C19" s="57">
        <f t="shared" si="0"/>
        <v>0.7602003168652367</v>
      </c>
      <c r="D19" s="29">
        <f>Premissas!$C$42*(Premissas!$C$43*C19+(1-Premissas!$C$43))</f>
        <v>34.41751989074757</v>
      </c>
    </row>
    <row r="20" spans="1:4" ht="15" customHeight="1" x14ac:dyDescent="0.3">
      <c r="A20" s="26" t="s">
        <v>264</v>
      </c>
      <c r="B20" s="55">
        <f>EE_por_UF!J20</f>
        <v>29.38125344861859</v>
      </c>
      <c r="C20" s="57">
        <f t="shared" si="0"/>
        <v>1.0298196896826126</v>
      </c>
      <c r="D20" s="29">
        <f>Premissas!$C$42*(Premissas!$C$43*C20+(1-Premissas!$C$43))</f>
        <v>42.493159345373613</v>
      </c>
    </row>
    <row r="21" spans="1:4" ht="15" customHeight="1" x14ac:dyDescent="0.3">
      <c r="A21" s="26" t="s">
        <v>250</v>
      </c>
      <c r="B21" s="55">
        <f>EE_por_UF!J21</f>
        <v>25.563636369176116</v>
      </c>
      <c r="C21" s="57">
        <f t="shared" si="0"/>
        <v>0.89601133317550341</v>
      </c>
      <c r="D21" s="29">
        <f>Premissas!$C$42*(Premissas!$C$43*C21+(1-Premissas!$C$43))</f>
        <v>38.485331451272678</v>
      </c>
    </row>
    <row r="22" spans="1:4" ht="15" customHeight="1" x14ac:dyDescent="0.3">
      <c r="A22" s="26" t="s">
        <v>141</v>
      </c>
      <c r="B22" s="55">
        <f>EE_por_UF!J22</f>
        <v>27.106759076072652</v>
      </c>
      <c r="C22" s="57">
        <f t="shared" si="0"/>
        <v>0.95009813889798356</v>
      </c>
      <c r="D22" s="29">
        <f>Premissas!$C$42*(Premissas!$C$43*C22+(1-Premissas!$C$43))</f>
        <v>40.105339456272404</v>
      </c>
    </row>
    <row r="23" spans="1:4" ht="15" customHeight="1" x14ac:dyDescent="0.3">
      <c r="A23" s="26" t="s">
        <v>239</v>
      </c>
      <c r="B23" s="55">
        <f>EE_por_UF!J23</f>
        <v>34.266349919380623</v>
      </c>
      <c r="C23" s="57">
        <f t="shared" si="0"/>
        <v>1.2010434443256031</v>
      </c>
      <c r="D23" s="29">
        <f>Premissas!$C$42*(Premissas!$C$43*C23+(1-Premissas!$C$43))</f>
        <v>47.621653244440459</v>
      </c>
    </row>
    <row r="24" spans="1:4" ht="15" customHeight="1" x14ac:dyDescent="0.3">
      <c r="A24" s="26" t="s">
        <v>210</v>
      </c>
      <c r="B24" s="55">
        <f>EE_por_UF!J24</f>
        <v>29.207317416722859</v>
      </c>
      <c r="C24" s="57">
        <f t="shared" si="0"/>
        <v>1.023723191767548</v>
      </c>
      <c r="D24" s="29">
        <f>Premissas!$C$42*(Premissas!$C$43*C24+(1-Premissas!$C$43))</f>
        <v>42.310557039821603</v>
      </c>
    </row>
    <row r="25" spans="1:4" ht="15" customHeight="1" x14ac:dyDescent="0.3">
      <c r="A25" s="26" t="s">
        <v>252</v>
      </c>
      <c r="B25" s="55">
        <f>EE_por_UF!J25</f>
        <v>24.966137321410816</v>
      </c>
      <c r="C25" s="57">
        <f t="shared" si="0"/>
        <v>0.87506885415460756</v>
      </c>
      <c r="D25" s="29">
        <f>Premissas!$C$42*(Premissas!$C$43*C25+(1-Premissas!$C$43))</f>
        <v>37.858062319638805</v>
      </c>
    </row>
    <row r="26" spans="1:4" ht="15" customHeight="1" x14ac:dyDescent="0.3">
      <c r="A26" s="26" t="s">
        <v>271</v>
      </c>
      <c r="B26" s="55">
        <f>EE_por_UF!J26</f>
        <v>28.524189466156596</v>
      </c>
      <c r="C26" s="57">
        <f t="shared" si="0"/>
        <v>0.99977940001285204</v>
      </c>
      <c r="D26" s="29">
        <f>Premissas!$C$42*(Premissas!$C$43*C26+(1-Premissas!$C$43))</f>
        <v>41.593392589184944</v>
      </c>
    </row>
    <row r="27" spans="1:4" ht="15" customHeight="1" x14ac:dyDescent="0.3">
      <c r="A27" s="26" t="s">
        <v>151</v>
      </c>
      <c r="B27" s="55">
        <f>EE_por_UF!J27</f>
        <v>27.704007612937467</v>
      </c>
      <c r="C27" s="57">
        <f t="shared" si="0"/>
        <v>0.97103183745421162</v>
      </c>
      <c r="D27" s="29">
        <f>Premissas!$C$42*(Premissas!$C$43*C27+(1-Premissas!$C$43))</f>
        <v>40.732345595428548</v>
      </c>
    </row>
    <row r="28" spans="1:4" ht="15" customHeight="1" x14ac:dyDescent="0.3">
      <c r="A28" s="26" t="s">
        <v>155</v>
      </c>
      <c r="B28" s="55">
        <f>EE_por_UF!J28</f>
        <v>28.119116395084177</v>
      </c>
      <c r="C28" s="57">
        <f t="shared" si="0"/>
        <v>0.98558149572397991</v>
      </c>
      <c r="D28" s="29">
        <f>Premissas!$C$42*(Premissas!$C$43*C28+(1-Premissas!$C$43))</f>
        <v>41.168136959924645</v>
      </c>
    </row>
    <row r="29" spans="1:4" ht="15" customHeight="1" x14ac:dyDescent="0.3">
      <c r="A29" s="26" t="s">
        <v>254</v>
      </c>
      <c r="B29" s="55">
        <f>EE_por_UF!J29</f>
        <v>24.198989440493847</v>
      </c>
      <c r="C29" s="57">
        <f t="shared" si="0"/>
        <v>0.84818014452048096</v>
      </c>
      <c r="D29" s="29">
        <f>Premissas!$C$42*(Premissas!$C$43*C29+(1-Premissas!$C$43))</f>
        <v>37.052691688677449</v>
      </c>
    </row>
    <row r="30" spans="1:4" ht="15" customHeight="1" x14ac:dyDescent="0.3">
      <c r="A30" s="26" t="s">
        <v>212</v>
      </c>
      <c r="B30" s="55">
        <f>EE_por_UF!J30</f>
        <v>27.398678410070218</v>
      </c>
      <c r="C30" s="57">
        <f t="shared" si="0"/>
        <v>0.96032997868233638</v>
      </c>
      <c r="D30" s="29">
        <f>Premissas!$C$42*(Premissas!$C$43*C30+(1-Premissas!$C$43))</f>
        <v>40.41180352149334</v>
      </c>
    </row>
    <row r="31" spans="1:4" ht="15" customHeight="1" x14ac:dyDescent="0.3">
      <c r="A31" s="26" t="s">
        <v>257</v>
      </c>
      <c r="B31" s="55">
        <f>EE_por_UF!J31</f>
        <v>26.474068338474254</v>
      </c>
      <c r="C31" s="57">
        <f t="shared" si="0"/>
        <v>0.9279221830560016</v>
      </c>
      <c r="D31" s="29">
        <f>Premissas!$C$42*(Premissas!$C$43*C31+(1-Premissas!$C$43))</f>
        <v>39.441125226893362</v>
      </c>
    </row>
    <row r="33" spans="1:2" ht="15" customHeight="1" x14ac:dyDescent="0.3">
      <c r="A33" s="49" t="s">
        <v>415</v>
      </c>
      <c r="B33" s="29">
        <f>AVERAGE(B5:B31)</f>
        <v>28.530483290403783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tabSelected="1" zoomScaleNormal="100" workbookViewId="0">
      <selection activeCell="A2" sqref="A2:E2"/>
    </sheetView>
  </sheetViews>
  <sheetFormatPr defaultColWidth="8.6640625" defaultRowHeight="14.4" x14ac:dyDescent="0.3"/>
  <cols>
    <col min="1" max="1" width="8" customWidth="1"/>
    <col min="2" max="2" width="24" customWidth="1"/>
    <col min="3" max="3" width="20" customWidth="1"/>
    <col min="4" max="5" width="10" customWidth="1"/>
    <col min="6" max="6" width="30" customWidth="1"/>
  </cols>
  <sheetData>
    <row r="1" spans="1:6" ht="15.6" x14ac:dyDescent="0.3">
      <c r="A1" s="44" t="s">
        <v>416</v>
      </c>
    </row>
    <row r="2" spans="1:6" ht="63" customHeight="1" x14ac:dyDescent="0.3">
      <c r="A2" s="62" t="s">
        <v>417</v>
      </c>
      <c r="B2" s="62"/>
      <c r="C2" s="62"/>
      <c r="D2" s="62"/>
      <c r="E2" s="62"/>
    </row>
    <row r="4" spans="1:6" x14ac:dyDescent="0.3">
      <c r="A4" s="46" t="s">
        <v>126</v>
      </c>
      <c r="B4" s="46" t="s">
        <v>418</v>
      </c>
      <c r="C4" s="46" t="s">
        <v>419</v>
      </c>
      <c r="D4" s="46" t="s">
        <v>369</v>
      </c>
      <c r="E4" s="46" t="s">
        <v>420</v>
      </c>
      <c r="F4" s="46" t="s">
        <v>421</v>
      </c>
    </row>
    <row r="5" spans="1:6" x14ac:dyDescent="0.3">
      <c r="A5" s="26" t="s">
        <v>158</v>
      </c>
      <c r="B5" s="48"/>
      <c r="C5" s="48"/>
      <c r="D5" s="29" t="str">
        <f>IF(OR(B5="",C5=""),"",C5/B5)</f>
        <v/>
      </c>
      <c r="E5" s="29" t="str">
        <f>IF(D5="","",D5/Premissas!$C$23)</f>
        <v/>
      </c>
      <c r="F5" s="27"/>
    </row>
    <row r="6" spans="1:6" x14ac:dyDescent="0.3">
      <c r="A6" s="26" t="s">
        <v>248</v>
      </c>
      <c r="B6" s="48"/>
      <c r="C6" s="48"/>
      <c r="D6" s="29" t="str">
        <f>IF(OR(B6="",C6=""),"",C6/B6)</f>
        <v/>
      </c>
      <c r="E6" s="29" t="str">
        <f>IF(D6="","",D6/Premissas!$C$23)</f>
        <v/>
      </c>
      <c r="F6" s="27"/>
    </row>
    <row r="7" spans="1:6" x14ac:dyDescent="0.3">
      <c r="A7" s="26" t="s">
        <v>223</v>
      </c>
      <c r="B7" s="48"/>
      <c r="C7" s="48"/>
      <c r="D7" s="29" t="str">
        <f>IF(OR(B7="",C7=""),"",C7/B7)</f>
        <v/>
      </c>
      <c r="E7" s="29" t="str">
        <f>IF(D7="","",D7/Premissas!$C$23)</f>
        <v/>
      </c>
      <c r="F7" s="27"/>
    </row>
    <row r="8" spans="1:6" x14ac:dyDescent="0.3">
      <c r="A8" s="26" t="s">
        <v>197</v>
      </c>
      <c r="B8" s="48"/>
      <c r="C8" s="48"/>
      <c r="D8" s="29" t="str">
        <f>IF(OR(B8="",C8=""),"",C8/B8)</f>
        <v/>
      </c>
      <c r="E8" s="29" t="str">
        <f>IF(D8="","",D8/Premissas!$C$23)</f>
        <v/>
      </c>
      <c r="F8" s="27"/>
    </row>
    <row r="9" spans="1:6" x14ac:dyDescent="0.3">
      <c r="A9" s="26" t="s">
        <v>233</v>
      </c>
      <c r="B9" s="48"/>
      <c r="C9" s="48"/>
      <c r="D9" s="29" t="str">
        <f>IF(OR(B9="",C9=""),"",C9/B9)</f>
        <v/>
      </c>
      <c r="E9" s="29" t="str">
        <f>IF(D9="","",D9/Premissas!$C$23)</f>
        <v/>
      </c>
      <c r="F9" s="27"/>
    </row>
    <row r="11" spans="1:6" x14ac:dyDescent="0.3">
      <c r="A11" s="49" t="s">
        <v>422</v>
      </c>
      <c r="E11" s="29">
        <f>IFERROR(E6-E5,0)</f>
        <v>0</v>
      </c>
    </row>
    <row r="12" spans="1:6" x14ac:dyDescent="0.3">
      <c r="A12" s="28" t="s">
        <v>423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zoomScaleNormal="100" workbookViewId="0">
      <selection activeCell="K4" sqref="K4"/>
    </sheetView>
  </sheetViews>
  <sheetFormatPr defaultColWidth="8.6640625" defaultRowHeight="14.4" x14ac:dyDescent="0.3"/>
  <cols>
    <col min="1" max="1" width="12" customWidth="1"/>
    <col min="2" max="2" width="8" customWidth="1"/>
    <col min="3" max="4" width="18" customWidth="1"/>
    <col min="5" max="5" width="12" customWidth="1"/>
    <col min="6" max="6" width="30" customWidth="1"/>
  </cols>
  <sheetData>
    <row r="1" spans="1:6" ht="15.6" x14ac:dyDescent="0.3">
      <c r="A1" s="44" t="s">
        <v>424</v>
      </c>
    </row>
    <row r="2" spans="1:6" ht="56.4" customHeight="1" x14ac:dyDescent="0.3">
      <c r="A2" s="62" t="s">
        <v>425</v>
      </c>
      <c r="B2" s="62"/>
      <c r="C2" s="62"/>
      <c r="D2" s="62"/>
      <c r="E2" s="62"/>
      <c r="F2" s="62"/>
    </row>
    <row r="4" spans="1:6" x14ac:dyDescent="0.3">
      <c r="A4" s="46" t="s">
        <v>426</v>
      </c>
      <c r="B4" s="46" t="s">
        <v>345</v>
      </c>
      <c r="C4" s="46" t="s">
        <v>349</v>
      </c>
      <c r="D4" s="46" t="s">
        <v>347</v>
      </c>
      <c r="E4" s="46" t="s">
        <v>350</v>
      </c>
      <c r="F4" s="46" t="s">
        <v>359</v>
      </c>
    </row>
    <row r="5" spans="1:6" x14ac:dyDescent="0.3">
      <c r="A5" s="26" t="s">
        <v>223</v>
      </c>
      <c r="B5" s="26">
        <v>2022</v>
      </c>
      <c r="C5" s="48"/>
      <c r="D5" s="48"/>
      <c r="E5" s="29" t="str">
        <f t="shared" ref="E5:E10" si="0">IF(OR(C5="",D5=""),"",C5/D5*1000)</f>
        <v/>
      </c>
      <c r="F5" s="27"/>
    </row>
    <row r="6" spans="1:6" x14ac:dyDescent="0.3">
      <c r="A6" s="26" t="s">
        <v>223</v>
      </c>
      <c r="B6" s="26">
        <v>2023</v>
      </c>
      <c r="C6" s="48"/>
      <c r="D6" s="48"/>
      <c r="E6" s="29" t="str">
        <f t="shared" si="0"/>
        <v/>
      </c>
      <c r="F6" s="27"/>
    </row>
    <row r="7" spans="1:6" x14ac:dyDescent="0.3">
      <c r="A7" s="26" t="s">
        <v>223</v>
      </c>
      <c r="B7" s="26">
        <v>2024</v>
      </c>
      <c r="C7" s="48"/>
      <c r="D7" s="48"/>
      <c r="E7" s="29" t="str">
        <f t="shared" si="0"/>
        <v/>
      </c>
      <c r="F7" s="27"/>
    </row>
    <row r="8" spans="1:6" x14ac:dyDescent="0.3">
      <c r="A8" s="26" t="s">
        <v>246</v>
      </c>
      <c r="B8" s="26">
        <v>2022</v>
      </c>
      <c r="C8" s="48"/>
      <c r="D8" s="48"/>
      <c r="E8" s="29" t="str">
        <f t="shared" si="0"/>
        <v/>
      </c>
      <c r="F8" s="27"/>
    </row>
    <row r="9" spans="1:6" x14ac:dyDescent="0.3">
      <c r="A9" s="26" t="s">
        <v>246</v>
      </c>
      <c r="B9" s="26">
        <v>2023</v>
      </c>
      <c r="C9" s="48"/>
      <c r="D9" s="48"/>
      <c r="E9" s="29" t="str">
        <f t="shared" si="0"/>
        <v/>
      </c>
      <c r="F9" s="27"/>
    </row>
    <row r="10" spans="1:6" x14ac:dyDescent="0.3">
      <c r="A10" s="26" t="s">
        <v>246</v>
      </c>
      <c r="B10" s="26">
        <v>2024</v>
      </c>
      <c r="C10" s="48"/>
      <c r="D10" s="48"/>
      <c r="E10" s="29" t="str">
        <f t="shared" si="0"/>
        <v/>
      </c>
      <c r="F10" s="27"/>
    </row>
    <row r="12" spans="1:6" x14ac:dyDescent="0.3">
      <c r="A12" s="49" t="s">
        <v>427</v>
      </c>
      <c r="E12" s="29" t="str">
        <f>IFERROR(IF(Premissas!C6=0,AVERAGE(E5:E7),INDEX(E5:E7,MATCH(Premissas!C6,B5:B7,0))),"")</f>
        <v/>
      </c>
    </row>
    <row r="13" spans="1:6" x14ac:dyDescent="0.3">
      <c r="A13" s="49" t="s">
        <v>428</v>
      </c>
      <c r="E13" s="29" t="str">
        <f>IFERROR(IF(Premissas!C6=0,AVERAGE(E8:E10),INDEX(E8:E10,MATCH(Premissas!C6,B8:B10,0))),"")</f>
        <v/>
      </c>
    </row>
    <row r="14" spans="1:6" x14ac:dyDescent="0.3">
      <c r="A14" s="49" t="s">
        <v>429</v>
      </c>
      <c r="E14" s="29">
        <f>IFERROR(E13-E12,0)</f>
        <v>0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6"/>
  <sheetViews>
    <sheetView topLeftCell="A2" zoomScaleNormal="100" workbookViewId="0">
      <selection activeCell="E2" sqref="E2"/>
    </sheetView>
  </sheetViews>
  <sheetFormatPr defaultColWidth="8.6640625" defaultRowHeight="14.4" x14ac:dyDescent="0.3"/>
  <cols>
    <col min="1" max="1" width="36" customWidth="1"/>
    <col min="2" max="2" width="10" customWidth="1"/>
    <col min="3" max="3" width="14" customWidth="1"/>
    <col min="4" max="4" width="12" customWidth="1"/>
    <col min="5" max="5" width="95" customWidth="1"/>
  </cols>
  <sheetData>
    <row r="1" spans="1:5" ht="15.6" x14ac:dyDescent="0.3">
      <c r="A1" s="44" t="s">
        <v>430</v>
      </c>
    </row>
    <row r="2" spans="1:5" ht="69.599999999999994" customHeight="1" x14ac:dyDescent="0.3">
      <c r="A2" s="62" t="s">
        <v>431</v>
      </c>
      <c r="B2" s="62"/>
      <c r="C2" s="62"/>
      <c r="D2" s="62"/>
    </row>
    <row r="4" spans="1:5" x14ac:dyDescent="0.3">
      <c r="A4" s="6" t="s">
        <v>432</v>
      </c>
    </row>
    <row r="5" spans="1:5" x14ac:dyDescent="0.3">
      <c r="A5" s="46" t="s">
        <v>356</v>
      </c>
      <c r="B5" s="46" t="s">
        <v>357</v>
      </c>
      <c r="C5" s="46" t="s">
        <v>358</v>
      </c>
      <c r="D5" s="46" t="s">
        <v>359</v>
      </c>
    </row>
    <row r="6" spans="1:5" x14ac:dyDescent="0.3">
      <c r="A6" s="26" t="s">
        <v>360</v>
      </c>
      <c r="B6" s="31">
        <v>7.63</v>
      </c>
      <c r="C6" s="50">
        <v>0.16389999999999999</v>
      </c>
      <c r="D6" s="28" t="s">
        <v>433</v>
      </c>
    </row>
    <row r="7" spans="1:5" x14ac:dyDescent="0.3">
      <c r="A7" s="26" t="s">
        <v>362</v>
      </c>
      <c r="B7" s="31">
        <v>16.03</v>
      </c>
      <c r="C7" s="50">
        <v>8.3099999999999993E-2</v>
      </c>
      <c r="D7" s="28" t="s">
        <v>434</v>
      </c>
    </row>
    <row r="8" spans="1:5" x14ac:dyDescent="0.3">
      <c r="A8" s="26" t="s">
        <v>435</v>
      </c>
      <c r="B8" s="58">
        <f>CM_Frete!B8</f>
        <v>1.0967</v>
      </c>
      <c r="D8" s="28" t="s">
        <v>436</v>
      </c>
    </row>
    <row r="10" spans="1:5" x14ac:dyDescent="0.3">
      <c r="A10" s="6" t="s">
        <v>366</v>
      </c>
    </row>
    <row r="11" spans="1:5" x14ac:dyDescent="0.3">
      <c r="A11" s="46" t="s">
        <v>367</v>
      </c>
      <c r="B11" s="46" t="s">
        <v>356</v>
      </c>
      <c r="C11" s="46" t="s">
        <v>368</v>
      </c>
      <c r="D11" s="46" t="s">
        <v>369</v>
      </c>
      <c r="E11" s="46" t="s">
        <v>370</v>
      </c>
    </row>
    <row r="12" spans="1:5" x14ac:dyDescent="0.3">
      <c r="A12" s="26" t="s">
        <v>437</v>
      </c>
      <c r="B12" s="26" t="s">
        <v>362</v>
      </c>
      <c r="C12" s="51">
        <v>550</v>
      </c>
      <c r="D12" s="29">
        <f>($B$7+$C$7*C12)*$B$8</f>
        <v>67.704774499999999</v>
      </c>
      <c r="E12" s="28" t="s">
        <v>438</v>
      </c>
    </row>
    <row r="13" spans="1:5" x14ac:dyDescent="0.3">
      <c r="A13" s="26" t="s">
        <v>439</v>
      </c>
      <c r="B13" s="26" t="s">
        <v>360</v>
      </c>
      <c r="C13" s="51">
        <v>340</v>
      </c>
      <c r="D13" s="29">
        <f>($B$6+$C$6*C13)</f>
        <v>63.356000000000002</v>
      </c>
      <c r="E13" s="28" t="s">
        <v>440</v>
      </c>
    </row>
    <row r="14" spans="1:5" x14ac:dyDescent="0.3">
      <c r="A14" s="26" t="s">
        <v>441</v>
      </c>
      <c r="B14" s="26" t="s">
        <v>360</v>
      </c>
      <c r="C14" s="51">
        <v>450</v>
      </c>
      <c r="D14" s="29">
        <f>($B$6+$C$6*C14)</f>
        <v>81.384999999999991</v>
      </c>
      <c r="E14" s="28" t="s">
        <v>442</v>
      </c>
    </row>
    <row r="16" spans="1:5" x14ac:dyDescent="0.3">
      <c r="A16" s="6" t="s">
        <v>443</v>
      </c>
    </row>
    <row r="17" spans="1:4" x14ac:dyDescent="0.3">
      <c r="A17" s="46" t="s">
        <v>380</v>
      </c>
      <c r="B17" s="46" t="s">
        <v>126</v>
      </c>
      <c r="C17" s="46" t="s">
        <v>381</v>
      </c>
      <c r="D17" s="46" t="s">
        <v>382</v>
      </c>
    </row>
    <row r="18" spans="1:4" x14ac:dyDescent="0.3">
      <c r="A18" s="26" t="s">
        <v>390</v>
      </c>
      <c r="B18" s="26" t="s">
        <v>223</v>
      </c>
      <c r="C18" s="52">
        <v>7500</v>
      </c>
      <c r="D18" s="29">
        <f>D12</f>
        <v>67.704774499999999</v>
      </c>
    </row>
    <row r="19" spans="1:4" x14ac:dyDescent="0.3">
      <c r="A19" s="26" t="s">
        <v>387</v>
      </c>
      <c r="B19" s="26" t="s">
        <v>239</v>
      </c>
      <c r="C19" s="52">
        <v>4505</v>
      </c>
      <c r="D19" s="29">
        <f>D13</f>
        <v>63.356000000000002</v>
      </c>
    </row>
    <row r="20" spans="1:4" x14ac:dyDescent="0.3">
      <c r="A20" s="26" t="s">
        <v>388</v>
      </c>
      <c r="B20" s="26" t="s">
        <v>239</v>
      </c>
      <c r="C20" s="52">
        <v>5000</v>
      </c>
      <c r="D20" s="29">
        <f>D14</f>
        <v>81.384999999999991</v>
      </c>
    </row>
    <row r="22" spans="1:4" x14ac:dyDescent="0.3">
      <c r="A22" s="49" t="s">
        <v>444</v>
      </c>
      <c r="D22" s="29">
        <f>D18</f>
        <v>67.704774499999999</v>
      </c>
    </row>
    <row r="23" spans="1:4" x14ac:dyDescent="0.3">
      <c r="A23" s="49" t="s">
        <v>395</v>
      </c>
      <c r="D23" s="29">
        <f>(C19*D19+C20*D20)/(C19+C20)</f>
        <v>72.839955812730139</v>
      </c>
    </row>
    <row r="24" spans="1:4" x14ac:dyDescent="0.3">
      <c r="A24" s="49" t="s">
        <v>87</v>
      </c>
      <c r="D24" s="54">
        <f>Premissas!C23</f>
        <v>5.3920000000000003</v>
      </c>
    </row>
    <row r="25" spans="1:4" x14ac:dyDescent="0.3">
      <c r="A25" s="49" t="s">
        <v>445</v>
      </c>
      <c r="D25" s="29">
        <f>D22/D24</f>
        <v>12.556523460682492</v>
      </c>
    </row>
    <row r="26" spans="1:4" x14ac:dyDescent="0.3">
      <c r="A26" s="49" t="s">
        <v>398</v>
      </c>
      <c r="D26" s="29">
        <f>D23/D24</f>
        <v>13.508893882182889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1"/>
  <sheetViews>
    <sheetView zoomScaleNormal="100" workbookViewId="0">
      <selection activeCell="A2" sqref="A2:E2"/>
    </sheetView>
  </sheetViews>
  <sheetFormatPr defaultColWidth="8.6640625" defaultRowHeight="14.4" x14ac:dyDescent="0.3"/>
  <cols>
    <col min="1" max="1" width="7" customWidth="1"/>
    <col min="2" max="2" width="18" customWidth="1"/>
    <col min="3" max="4" width="17" customWidth="1"/>
    <col min="5" max="5" width="20" customWidth="1"/>
    <col min="6" max="6" width="18" customWidth="1"/>
    <col min="7" max="7" width="17" customWidth="1"/>
    <col min="8" max="8" width="60" customWidth="1"/>
  </cols>
  <sheetData>
    <row r="1" spans="1:8" ht="15.6" x14ac:dyDescent="0.3">
      <c r="A1" s="44" t="s">
        <v>446</v>
      </c>
    </row>
    <row r="2" spans="1:8" ht="63" customHeight="1" x14ac:dyDescent="0.3">
      <c r="A2" s="62" t="s">
        <v>447</v>
      </c>
      <c r="B2" s="62"/>
      <c r="C2" s="62"/>
      <c r="D2" s="62"/>
      <c r="E2" s="62"/>
    </row>
    <row r="4" spans="1:8" x14ac:dyDescent="0.3">
      <c r="A4" s="46" t="s">
        <v>126</v>
      </c>
      <c r="B4" s="46" t="s">
        <v>448</v>
      </c>
      <c r="C4" s="46" t="s">
        <v>449</v>
      </c>
      <c r="D4" s="46" t="s">
        <v>450</v>
      </c>
      <c r="E4" s="46" t="s">
        <v>451</v>
      </c>
      <c r="F4" s="46" t="s">
        <v>452</v>
      </c>
      <c r="G4" s="46" t="s">
        <v>453</v>
      </c>
      <c r="H4" s="46" t="s">
        <v>454</v>
      </c>
    </row>
    <row r="5" spans="1:8" x14ac:dyDescent="0.3">
      <c r="A5" s="26" t="s">
        <v>221</v>
      </c>
      <c r="B5" s="53">
        <v>0</v>
      </c>
      <c r="C5" s="53">
        <v>0</v>
      </c>
      <c r="D5" s="29">
        <f t="shared" ref="D5:D31" si="0">B5+C5</f>
        <v>0</v>
      </c>
      <c r="E5" s="29">
        <f>D5*Premissas!$C$47</f>
        <v>0</v>
      </c>
      <c r="F5" s="53">
        <v>0</v>
      </c>
      <c r="G5" s="29">
        <f>F5*Premissas!$C$48</f>
        <v>0</v>
      </c>
    </row>
    <row r="6" spans="1:8" x14ac:dyDescent="0.3">
      <c r="A6" s="26" t="s">
        <v>243</v>
      </c>
      <c r="B6" s="53">
        <v>0</v>
      </c>
      <c r="C6" s="53">
        <v>0</v>
      </c>
      <c r="D6" s="29">
        <f t="shared" si="0"/>
        <v>0</v>
      </c>
      <c r="E6" s="29">
        <f>D6*Premissas!$C$47</f>
        <v>0</v>
      </c>
      <c r="F6" s="53">
        <v>0</v>
      </c>
      <c r="G6" s="29">
        <f>F6*Premissas!$C$48</f>
        <v>0</v>
      </c>
    </row>
    <row r="7" spans="1:8" x14ac:dyDescent="0.3">
      <c r="A7" s="26" t="s">
        <v>273</v>
      </c>
      <c r="B7" s="53">
        <v>0</v>
      </c>
      <c r="C7" s="53">
        <v>0</v>
      </c>
      <c r="D7" s="29">
        <f t="shared" si="0"/>
        <v>0</v>
      </c>
      <c r="E7" s="29">
        <f>D7*Premissas!$C$47</f>
        <v>0</v>
      </c>
      <c r="F7" s="53">
        <v>0</v>
      </c>
      <c r="G7" s="29">
        <f>F7*Premissas!$C$48</f>
        <v>0</v>
      </c>
    </row>
    <row r="8" spans="1:8" x14ac:dyDescent="0.3">
      <c r="A8" s="26" t="s">
        <v>144</v>
      </c>
      <c r="B8" s="53">
        <v>0</v>
      </c>
      <c r="C8" s="53">
        <v>0</v>
      </c>
      <c r="D8" s="29">
        <f t="shared" si="0"/>
        <v>0</v>
      </c>
      <c r="E8" s="29">
        <f>D8*Premissas!$C$47</f>
        <v>0</v>
      </c>
      <c r="F8" s="53">
        <v>0</v>
      </c>
      <c r="G8" s="29">
        <f>F8*Premissas!$C$48</f>
        <v>0</v>
      </c>
    </row>
    <row r="9" spans="1:8" x14ac:dyDescent="0.3">
      <c r="A9" s="26" t="s">
        <v>197</v>
      </c>
      <c r="B9" s="53">
        <v>0</v>
      </c>
      <c r="C9" s="53">
        <v>0</v>
      </c>
      <c r="D9" s="29">
        <f t="shared" si="0"/>
        <v>0</v>
      </c>
      <c r="E9" s="29">
        <f>D9*Premissas!$C$47</f>
        <v>0</v>
      </c>
      <c r="F9" s="53">
        <v>0</v>
      </c>
      <c r="G9" s="29">
        <f>F9*Premissas!$C$48</f>
        <v>0</v>
      </c>
    </row>
    <row r="10" spans="1:8" x14ac:dyDescent="0.3">
      <c r="A10" s="26" t="s">
        <v>237</v>
      </c>
      <c r="B10" s="55">
        <f>Premissas!$C$49</f>
        <v>0</v>
      </c>
      <c r="C10" s="53">
        <v>0</v>
      </c>
      <c r="D10" s="29">
        <f t="shared" si="0"/>
        <v>0</v>
      </c>
      <c r="E10" s="29">
        <f>D10*Premissas!$C$47</f>
        <v>0</v>
      </c>
      <c r="F10" s="55">
        <f>Premissas!$C$49</f>
        <v>0</v>
      </c>
      <c r="G10" s="29">
        <f>F10*Premissas!$C$48</f>
        <v>0</v>
      </c>
      <c r="H10" s="28" t="s">
        <v>455</v>
      </c>
    </row>
    <row r="11" spans="1:8" x14ac:dyDescent="0.3">
      <c r="A11" s="26" t="s">
        <v>262</v>
      </c>
      <c r="B11" s="53">
        <v>0</v>
      </c>
      <c r="C11" s="53">
        <v>0</v>
      </c>
      <c r="D11" s="29">
        <f t="shared" si="0"/>
        <v>0</v>
      </c>
      <c r="E11" s="29">
        <f>D11*Premissas!$C$47</f>
        <v>0</v>
      </c>
      <c r="F11" s="53">
        <v>0</v>
      </c>
      <c r="G11" s="29">
        <f>F11*Premissas!$C$48</f>
        <v>0</v>
      </c>
    </row>
    <row r="12" spans="1:8" x14ac:dyDescent="0.3">
      <c r="A12" s="26" t="s">
        <v>223</v>
      </c>
      <c r="B12" s="55">
        <f>Ore_Frete!D25</f>
        <v>12.556523460682492</v>
      </c>
      <c r="C12" s="53">
        <v>0</v>
      </c>
      <c r="D12" s="29">
        <f t="shared" si="0"/>
        <v>12.556523460682492</v>
      </c>
      <c r="E12" s="29">
        <f>D12*Premissas!$C$47</f>
        <v>20.090437537091987</v>
      </c>
      <c r="F12" s="53">
        <v>0</v>
      </c>
      <c r="G12" s="29">
        <f>F12*Premissas!$C$48</f>
        <v>0</v>
      </c>
      <c r="H12" s="28" t="s">
        <v>456</v>
      </c>
    </row>
    <row r="13" spans="1:8" x14ac:dyDescent="0.3">
      <c r="A13" s="26" t="s">
        <v>193</v>
      </c>
      <c r="B13" s="53">
        <v>0</v>
      </c>
      <c r="C13" s="53">
        <v>0</v>
      </c>
      <c r="D13" s="29">
        <f t="shared" si="0"/>
        <v>0</v>
      </c>
      <c r="E13" s="29">
        <f>D13*Premissas!$C$47</f>
        <v>0</v>
      </c>
      <c r="F13" s="53">
        <v>0</v>
      </c>
      <c r="G13" s="29">
        <f>F13*Premissas!$C$48</f>
        <v>0</v>
      </c>
    </row>
    <row r="14" spans="1:8" x14ac:dyDescent="0.3">
      <c r="A14" s="26" t="s">
        <v>246</v>
      </c>
      <c r="B14" s="53">
        <v>0</v>
      </c>
      <c r="C14" s="53">
        <v>0</v>
      </c>
      <c r="D14" s="29">
        <f t="shared" si="0"/>
        <v>0</v>
      </c>
      <c r="E14" s="29">
        <f>D14*Premissas!$C$47</f>
        <v>0</v>
      </c>
      <c r="F14" s="55">
        <f>Pelota_Comex!E14</f>
        <v>0</v>
      </c>
      <c r="G14" s="29">
        <f>F14*Premissas!$C$48</f>
        <v>0</v>
      </c>
      <c r="H14" s="28" t="s">
        <v>457</v>
      </c>
    </row>
    <row r="15" spans="1:8" x14ac:dyDescent="0.3">
      <c r="A15" s="26" t="s">
        <v>158</v>
      </c>
      <c r="B15" s="53">
        <v>0</v>
      </c>
      <c r="C15" s="53">
        <v>0</v>
      </c>
      <c r="D15" s="29">
        <f t="shared" si="0"/>
        <v>0</v>
      </c>
      <c r="E15" s="29">
        <f>D15*Premissas!$C$47</f>
        <v>0</v>
      </c>
      <c r="F15" s="53">
        <v>0</v>
      </c>
      <c r="G15" s="29">
        <f>F15*Premissas!$C$48</f>
        <v>0</v>
      </c>
      <c r="H15" s="28" t="s">
        <v>458</v>
      </c>
    </row>
    <row r="16" spans="1:8" x14ac:dyDescent="0.3">
      <c r="A16" s="26" t="s">
        <v>233</v>
      </c>
      <c r="B16" s="53">
        <v>0</v>
      </c>
      <c r="C16" s="53">
        <v>0</v>
      </c>
      <c r="D16" s="29">
        <f t="shared" si="0"/>
        <v>0</v>
      </c>
      <c r="E16" s="29">
        <f>D16*Premissas!$C$47</f>
        <v>0</v>
      </c>
      <c r="F16" s="53">
        <v>0</v>
      </c>
      <c r="G16" s="29">
        <f>F16*Premissas!$C$48</f>
        <v>0</v>
      </c>
    </row>
    <row r="17" spans="1:8" x14ac:dyDescent="0.3">
      <c r="A17" s="26" t="s">
        <v>235</v>
      </c>
      <c r="B17" s="53">
        <v>0</v>
      </c>
      <c r="C17" s="53">
        <v>0</v>
      </c>
      <c r="D17" s="29">
        <f t="shared" si="0"/>
        <v>0</v>
      </c>
      <c r="E17" s="29">
        <f>D17*Premissas!$C$47</f>
        <v>0</v>
      </c>
      <c r="F17" s="53">
        <v>0</v>
      </c>
      <c r="G17" s="29">
        <f>F17*Premissas!$C$48</f>
        <v>0</v>
      </c>
    </row>
    <row r="18" spans="1:8" x14ac:dyDescent="0.3">
      <c r="A18" s="26" t="s">
        <v>248</v>
      </c>
      <c r="B18" s="53">
        <v>0</v>
      </c>
      <c r="C18" s="55">
        <f>Minerio_ANM!E11</f>
        <v>0</v>
      </c>
      <c r="D18" s="29">
        <f t="shared" si="0"/>
        <v>0</v>
      </c>
      <c r="E18" s="29">
        <f>D18*Premissas!$C$47</f>
        <v>0</v>
      </c>
      <c r="F18" s="53">
        <v>0</v>
      </c>
      <c r="G18" s="29">
        <f>F18*Premissas!$C$48</f>
        <v>0</v>
      </c>
      <c r="H18" s="28" t="s">
        <v>459</v>
      </c>
    </row>
    <row r="19" spans="1:8" x14ac:dyDescent="0.3">
      <c r="A19" s="26" t="s">
        <v>241</v>
      </c>
      <c r="B19" s="53">
        <v>0</v>
      </c>
      <c r="C19" s="53">
        <v>0</v>
      </c>
      <c r="D19" s="29">
        <f t="shared" si="0"/>
        <v>0</v>
      </c>
      <c r="E19" s="29">
        <f>D19*Premissas!$C$47</f>
        <v>0</v>
      </c>
      <c r="F19" s="53">
        <v>0</v>
      </c>
      <c r="G19" s="29">
        <f>F19*Premissas!$C$48</f>
        <v>0</v>
      </c>
    </row>
    <row r="20" spans="1:8" x14ac:dyDescent="0.3">
      <c r="A20" s="26" t="s">
        <v>264</v>
      </c>
      <c r="B20" s="53">
        <v>0</v>
      </c>
      <c r="C20" s="53">
        <v>0</v>
      </c>
      <c r="D20" s="29">
        <f t="shared" si="0"/>
        <v>0</v>
      </c>
      <c r="E20" s="29">
        <f>D20*Premissas!$C$47</f>
        <v>0</v>
      </c>
      <c r="F20" s="53">
        <v>0</v>
      </c>
      <c r="G20" s="29">
        <f>F20*Premissas!$C$48</f>
        <v>0</v>
      </c>
    </row>
    <row r="21" spans="1:8" x14ac:dyDescent="0.3">
      <c r="A21" s="26" t="s">
        <v>250</v>
      </c>
      <c r="B21" s="53">
        <v>0</v>
      </c>
      <c r="C21" s="53">
        <v>0</v>
      </c>
      <c r="D21" s="29">
        <f t="shared" si="0"/>
        <v>0</v>
      </c>
      <c r="E21" s="29">
        <f>D21*Premissas!$C$47</f>
        <v>0</v>
      </c>
      <c r="F21" s="53">
        <v>0</v>
      </c>
      <c r="G21" s="29">
        <f>F21*Premissas!$C$48</f>
        <v>0</v>
      </c>
    </row>
    <row r="22" spans="1:8" x14ac:dyDescent="0.3">
      <c r="A22" s="26" t="s">
        <v>141</v>
      </c>
      <c r="B22" s="53">
        <v>0</v>
      </c>
      <c r="C22" s="53">
        <v>0</v>
      </c>
      <c r="D22" s="29">
        <f t="shared" si="0"/>
        <v>0</v>
      </c>
      <c r="E22" s="29">
        <f>D22*Premissas!$C$47</f>
        <v>0</v>
      </c>
      <c r="F22" s="53">
        <v>0</v>
      </c>
      <c r="G22" s="29">
        <f>F22*Premissas!$C$48</f>
        <v>0</v>
      </c>
    </row>
    <row r="23" spans="1:8" x14ac:dyDescent="0.3">
      <c r="A23" s="26" t="s">
        <v>239</v>
      </c>
      <c r="B23" s="55">
        <f>Ore_Frete!D26</f>
        <v>13.508893882182889</v>
      </c>
      <c r="C23" s="53">
        <v>0</v>
      </c>
      <c r="D23" s="29">
        <f t="shared" si="0"/>
        <v>13.508893882182889</v>
      </c>
      <c r="E23" s="29">
        <f>D23*Premissas!$C$47</f>
        <v>21.614230211492625</v>
      </c>
      <c r="F23" s="55">
        <f>Premissas!$C$49</f>
        <v>0</v>
      </c>
      <c r="G23" s="29">
        <f>F23*Premissas!$C$48</f>
        <v>0</v>
      </c>
      <c r="H23" s="28" t="s">
        <v>460</v>
      </c>
    </row>
    <row r="24" spans="1:8" x14ac:dyDescent="0.3">
      <c r="A24" s="26" t="s">
        <v>210</v>
      </c>
      <c r="B24" s="53">
        <v>0</v>
      </c>
      <c r="C24" s="53">
        <v>0</v>
      </c>
      <c r="D24" s="29">
        <f t="shared" si="0"/>
        <v>0</v>
      </c>
      <c r="E24" s="29">
        <f>D24*Premissas!$C$47</f>
        <v>0</v>
      </c>
      <c r="F24" s="53">
        <v>0</v>
      </c>
      <c r="G24" s="29">
        <f>F24*Premissas!$C$48</f>
        <v>0</v>
      </c>
    </row>
    <row r="25" spans="1:8" x14ac:dyDescent="0.3">
      <c r="A25" s="26" t="s">
        <v>252</v>
      </c>
      <c r="B25" s="53">
        <v>0</v>
      </c>
      <c r="C25" s="53">
        <v>0</v>
      </c>
      <c r="D25" s="29">
        <f t="shared" si="0"/>
        <v>0</v>
      </c>
      <c r="E25" s="29">
        <f>D25*Premissas!$C$47</f>
        <v>0</v>
      </c>
      <c r="F25" s="53">
        <v>0</v>
      </c>
      <c r="G25" s="29">
        <f>F25*Premissas!$C$48</f>
        <v>0</v>
      </c>
    </row>
    <row r="26" spans="1:8" x14ac:dyDescent="0.3">
      <c r="A26" s="26" t="s">
        <v>271</v>
      </c>
      <c r="B26" s="53">
        <v>0</v>
      </c>
      <c r="C26" s="53">
        <v>0</v>
      </c>
      <c r="D26" s="29">
        <f t="shared" si="0"/>
        <v>0</v>
      </c>
      <c r="E26" s="29">
        <f>D26*Premissas!$C$47</f>
        <v>0</v>
      </c>
      <c r="F26" s="53">
        <v>0</v>
      </c>
      <c r="G26" s="29">
        <f>F26*Premissas!$C$48</f>
        <v>0</v>
      </c>
    </row>
    <row r="27" spans="1:8" x14ac:dyDescent="0.3">
      <c r="A27" s="26" t="s">
        <v>151</v>
      </c>
      <c r="B27" s="53">
        <v>0</v>
      </c>
      <c r="C27" s="53">
        <v>0</v>
      </c>
      <c r="D27" s="29">
        <f t="shared" si="0"/>
        <v>0</v>
      </c>
      <c r="E27" s="29">
        <f>D27*Premissas!$C$47</f>
        <v>0</v>
      </c>
      <c r="F27" s="53">
        <v>0</v>
      </c>
      <c r="G27" s="29">
        <f>F27*Premissas!$C$48</f>
        <v>0</v>
      </c>
    </row>
    <row r="28" spans="1:8" x14ac:dyDescent="0.3">
      <c r="A28" s="26" t="s">
        <v>155</v>
      </c>
      <c r="B28" s="53">
        <v>0</v>
      </c>
      <c r="C28" s="53">
        <v>0</v>
      </c>
      <c r="D28" s="29">
        <f t="shared" si="0"/>
        <v>0</v>
      </c>
      <c r="E28" s="29">
        <f>D28*Premissas!$C$47</f>
        <v>0</v>
      </c>
      <c r="F28" s="53">
        <v>0</v>
      </c>
      <c r="G28" s="29">
        <f>F28*Premissas!$C$48</f>
        <v>0</v>
      </c>
    </row>
    <row r="29" spans="1:8" x14ac:dyDescent="0.3">
      <c r="A29" s="26" t="s">
        <v>254</v>
      </c>
      <c r="B29" s="53">
        <v>0</v>
      </c>
      <c r="C29" s="53">
        <v>0</v>
      </c>
      <c r="D29" s="29">
        <f t="shared" si="0"/>
        <v>0</v>
      </c>
      <c r="E29" s="29">
        <f>D29*Premissas!$C$47</f>
        <v>0</v>
      </c>
      <c r="F29" s="53">
        <v>0</v>
      </c>
      <c r="G29" s="29">
        <f>F29*Premissas!$C$48</f>
        <v>0</v>
      </c>
    </row>
    <row r="30" spans="1:8" x14ac:dyDescent="0.3">
      <c r="A30" s="26" t="s">
        <v>212</v>
      </c>
      <c r="B30" s="53">
        <v>0</v>
      </c>
      <c r="C30" s="53">
        <v>0</v>
      </c>
      <c r="D30" s="29">
        <f t="shared" si="0"/>
        <v>0</v>
      </c>
      <c r="E30" s="29">
        <f>D30*Premissas!$C$47</f>
        <v>0</v>
      </c>
      <c r="F30" s="53">
        <v>0</v>
      </c>
      <c r="G30" s="29">
        <f>F30*Premissas!$C$48</f>
        <v>0</v>
      </c>
    </row>
    <row r="31" spans="1:8" x14ac:dyDescent="0.3">
      <c r="A31" s="26" t="s">
        <v>257</v>
      </c>
      <c r="B31" s="53">
        <v>0</v>
      </c>
      <c r="C31" s="53">
        <v>0</v>
      </c>
      <c r="D31" s="29">
        <f t="shared" si="0"/>
        <v>0</v>
      </c>
      <c r="E31" s="29">
        <f>D31*Premissas!$C$47</f>
        <v>0</v>
      </c>
      <c r="F31" s="53">
        <v>0</v>
      </c>
      <c r="G31" s="29">
        <f>F31*Premissas!$C$48</f>
        <v>0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63"/>
  <sheetViews>
    <sheetView topLeftCell="A125" zoomScaleNormal="100" workbookViewId="0">
      <selection sqref="A1:D163"/>
    </sheetView>
  </sheetViews>
  <sheetFormatPr defaultColWidth="8.6640625" defaultRowHeight="14.4" x14ac:dyDescent="0.3"/>
  <cols>
    <col min="1" max="1" width="12" customWidth="1"/>
    <col min="2" max="2" width="8" customWidth="1"/>
    <col min="3" max="3" width="20" customWidth="1"/>
    <col min="4" max="4" width="80" customWidth="1"/>
  </cols>
  <sheetData>
    <row r="1" spans="1:6" x14ac:dyDescent="0.3">
      <c r="A1" s="46" t="s">
        <v>461</v>
      </c>
      <c r="B1" s="46" t="s">
        <v>462</v>
      </c>
      <c r="C1" s="46" t="s">
        <v>463</v>
      </c>
      <c r="D1" s="46" t="s">
        <v>464</v>
      </c>
      <c r="F1" s="46" t="s">
        <v>465</v>
      </c>
    </row>
    <row r="2" spans="1:6" x14ac:dyDescent="0.3">
      <c r="A2" s="26" t="s">
        <v>466</v>
      </c>
      <c r="B2" s="26" t="s">
        <v>221</v>
      </c>
      <c r="C2" s="55">
        <f>Ore_por_UF!E5</f>
        <v>0</v>
      </c>
      <c r="D2" s="26" t="s">
        <v>467</v>
      </c>
    </row>
    <row r="3" spans="1:6" x14ac:dyDescent="0.3">
      <c r="A3" s="26" t="s">
        <v>466</v>
      </c>
      <c r="B3" s="26" t="s">
        <v>243</v>
      </c>
      <c r="C3" s="55">
        <f>Ore_por_UF!E6</f>
        <v>0</v>
      </c>
      <c r="D3" s="26" t="s">
        <v>467</v>
      </c>
    </row>
    <row r="4" spans="1:6" x14ac:dyDescent="0.3">
      <c r="A4" s="26" t="s">
        <v>466</v>
      </c>
      <c r="B4" s="26" t="s">
        <v>273</v>
      </c>
      <c r="C4" s="55">
        <f>Ore_por_UF!E7</f>
        <v>0</v>
      </c>
      <c r="D4" s="26" t="s">
        <v>467</v>
      </c>
    </row>
    <row r="5" spans="1:6" x14ac:dyDescent="0.3">
      <c r="A5" s="26" t="s">
        <v>466</v>
      </c>
      <c r="B5" s="26" t="s">
        <v>144</v>
      </c>
      <c r="C5" s="55">
        <f>Ore_por_UF!E8</f>
        <v>0</v>
      </c>
      <c r="D5" s="26" t="s">
        <v>467</v>
      </c>
    </row>
    <row r="6" spans="1:6" x14ac:dyDescent="0.3">
      <c r="A6" s="26" t="s">
        <v>466</v>
      </c>
      <c r="B6" s="26" t="s">
        <v>197</v>
      </c>
      <c r="C6" s="55">
        <f>Ore_por_UF!E9</f>
        <v>0</v>
      </c>
      <c r="D6" s="26" t="s">
        <v>467</v>
      </c>
    </row>
    <row r="7" spans="1:6" x14ac:dyDescent="0.3">
      <c r="A7" s="26" t="s">
        <v>466</v>
      </c>
      <c r="B7" s="26" t="s">
        <v>237</v>
      </c>
      <c r="C7" s="55">
        <f>Ore_por_UF!E10</f>
        <v>0</v>
      </c>
      <c r="D7" s="26" t="s">
        <v>467</v>
      </c>
    </row>
    <row r="8" spans="1:6" x14ac:dyDescent="0.3">
      <c r="A8" s="26" t="s">
        <v>466</v>
      </c>
      <c r="B8" s="26" t="s">
        <v>262</v>
      </c>
      <c r="C8" s="55">
        <f>Ore_por_UF!E11</f>
        <v>0</v>
      </c>
      <c r="D8" s="26" t="s">
        <v>467</v>
      </c>
    </row>
    <row r="9" spans="1:6" x14ac:dyDescent="0.3">
      <c r="A9" s="26" t="s">
        <v>466</v>
      </c>
      <c r="B9" s="26" t="s">
        <v>223</v>
      </c>
      <c r="C9" s="55">
        <f>Ore_por_UF!E12</f>
        <v>20.090437537091987</v>
      </c>
      <c r="D9" s="26" t="s">
        <v>467</v>
      </c>
    </row>
    <row r="10" spans="1:6" x14ac:dyDescent="0.3">
      <c r="A10" s="26" t="s">
        <v>466</v>
      </c>
      <c r="B10" s="26" t="s">
        <v>193</v>
      </c>
      <c r="C10" s="55">
        <f>Ore_por_UF!E13</f>
        <v>0</v>
      </c>
      <c r="D10" s="26" t="s">
        <v>467</v>
      </c>
    </row>
    <row r="11" spans="1:6" x14ac:dyDescent="0.3">
      <c r="A11" s="26" t="s">
        <v>466</v>
      </c>
      <c r="B11" s="26" t="s">
        <v>246</v>
      </c>
      <c r="C11" s="55">
        <f>Ore_por_UF!E14</f>
        <v>0</v>
      </c>
      <c r="D11" s="26" t="s">
        <v>467</v>
      </c>
    </row>
    <row r="12" spans="1:6" x14ac:dyDescent="0.3">
      <c r="A12" s="26" t="s">
        <v>466</v>
      </c>
      <c r="B12" s="26" t="s">
        <v>158</v>
      </c>
      <c r="C12" s="55">
        <f>Ore_por_UF!E15</f>
        <v>0</v>
      </c>
      <c r="D12" s="26" t="s">
        <v>467</v>
      </c>
    </row>
    <row r="13" spans="1:6" x14ac:dyDescent="0.3">
      <c r="A13" s="26" t="s">
        <v>466</v>
      </c>
      <c r="B13" s="26" t="s">
        <v>233</v>
      </c>
      <c r="C13" s="55">
        <f>Ore_por_UF!E16</f>
        <v>0</v>
      </c>
      <c r="D13" s="26" t="s">
        <v>467</v>
      </c>
    </row>
    <row r="14" spans="1:6" x14ac:dyDescent="0.3">
      <c r="A14" s="26" t="s">
        <v>466</v>
      </c>
      <c r="B14" s="26" t="s">
        <v>235</v>
      </c>
      <c r="C14" s="55">
        <f>Ore_por_UF!E17</f>
        <v>0</v>
      </c>
      <c r="D14" s="26" t="s">
        <v>467</v>
      </c>
    </row>
    <row r="15" spans="1:6" x14ac:dyDescent="0.3">
      <c r="A15" s="26" t="s">
        <v>466</v>
      </c>
      <c r="B15" s="26" t="s">
        <v>248</v>
      </c>
      <c r="C15" s="55">
        <f>Ore_por_UF!E18</f>
        <v>0</v>
      </c>
      <c r="D15" s="26" t="s">
        <v>467</v>
      </c>
    </row>
    <row r="16" spans="1:6" x14ac:dyDescent="0.3">
      <c r="A16" s="26" t="s">
        <v>466</v>
      </c>
      <c r="B16" s="26" t="s">
        <v>241</v>
      </c>
      <c r="C16" s="55">
        <f>Ore_por_UF!E19</f>
        <v>0</v>
      </c>
      <c r="D16" s="26" t="s">
        <v>467</v>
      </c>
    </row>
    <row r="17" spans="1:4" x14ac:dyDescent="0.3">
      <c r="A17" s="26" t="s">
        <v>466</v>
      </c>
      <c r="B17" s="26" t="s">
        <v>264</v>
      </c>
      <c r="C17" s="55">
        <f>Ore_por_UF!E20</f>
        <v>0</v>
      </c>
      <c r="D17" s="26" t="s">
        <v>467</v>
      </c>
    </row>
    <row r="18" spans="1:4" x14ac:dyDescent="0.3">
      <c r="A18" s="26" t="s">
        <v>466</v>
      </c>
      <c r="B18" s="26" t="s">
        <v>250</v>
      </c>
      <c r="C18" s="55">
        <f>Ore_por_UF!E21</f>
        <v>0</v>
      </c>
      <c r="D18" s="26" t="s">
        <v>467</v>
      </c>
    </row>
    <row r="19" spans="1:4" x14ac:dyDescent="0.3">
      <c r="A19" s="26" t="s">
        <v>466</v>
      </c>
      <c r="B19" s="26" t="s">
        <v>141</v>
      </c>
      <c r="C19" s="55">
        <f>Ore_por_UF!E22</f>
        <v>0</v>
      </c>
      <c r="D19" s="26" t="s">
        <v>467</v>
      </c>
    </row>
    <row r="20" spans="1:4" x14ac:dyDescent="0.3">
      <c r="A20" s="26" t="s">
        <v>466</v>
      </c>
      <c r="B20" s="26" t="s">
        <v>239</v>
      </c>
      <c r="C20" s="55">
        <f>Ore_por_UF!E23</f>
        <v>21.614230211492625</v>
      </c>
      <c r="D20" s="26" t="s">
        <v>467</v>
      </c>
    </row>
    <row r="21" spans="1:4" x14ac:dyDescent="0.3">
      <c r="A21" s="26" t="s">
        <v>466</v>
      </c>
      <c r="B21" s="26" t="s">
        <v>210</v>
      </c>
      <c r="C21" s="55">
        <f>Ore_por_UF!E24</f>
        <v>0</v>
      </c>
      <c r="D21" s="26" t="s">
        <v>467</v>
      </c>
    </row>
    <row r="22" spans="1:4" x14ac:dyDescent="0.3">
      <c r="A22" s="26" t="s">
        <v>466</v>
      </c>
      <c r="B22" s="26" t="s">
        <v>252</v>
      </c>
      <c r="C22" s="55">
        <f>Ore_por_UF!E25</f>
        <v>0</v>
      </c>
      <c r="D22" s="26" t="s">
        <v>467</v>
      </c>
    </row>
    <row r="23" spans="1:4" x14ac:dyDescent="0.3">
      <c r="A23" s="26" t="s">
        <v>466</v>
      </c>
      <c r="B23" s="26" t="s">
        <v>271</v>
      </c>
      <c r="C23" s="55">
        <f>Ore_por_UF!E26</f>
        <v>0</v>
      </c>
      <c r="D23" s="26" t="s">
        <v>467</v>
      </c>
    </row>
    <row r="24" spans="1:4" x14ac:dyDescent="0.3">
      <c r="A24" s="26" t="s">
        <v>466</v>
      </c>
      <c r="B24" s="26" t="s">
        <v>151</v>
      </c>
      <c r="C24" s="55">
        <f>Ore_por_UF!E27</f>
        <v>0</v>
      </c>
      <c r="D24" s="26" t="s">
        <v>467</v>
      </c>
    </row>
    <row r="25" spans="1:4" x14ac:dyDescent="0.3">
      <c r="A25" s="26" t="s">
        <v>466</v>
      </c>
      <c r="B25" s="26" t="s">
        <v>155</v>
      </c>
      <c r="C25" s="55">
        <f>Ore_por_UF!E28</f>
        <v>0</v>
      </c>
      <c r="D25" s="26" t="s">
        <v>467</v>
      </c>
    </row>
    <row r="26" spans="1:4" x14ac:dyDescent="0.3">
      <c r="A26" s="26" t="s">
        <v>466</v>
      </c>
      <c r="B26" s="26" t="s">
        <v>254</v>
      </c>
      <c r="C26" s="55">
        <f>Ore_por_UF!E29</f>
        <v>0</v>
      </c>
      <c r="D26" s="26" t="s">
        <v>467</v>
      </c>
    </row>
    <row r="27" spans="1:4" x14ac:dyDescent="0.3">
      <c r="A27" s="26" t="s">
        <v>466</v>
      </c>
      <c r="B27" s="26" t="s">
        <v>212</v>
      </c>
      <c r="C27" s="55">
        <f>Ore_por_UF!E30</f>
        <v>0</v>
      </c>
      <c r="D27" s="26" t="s">
        <v>467</v>
      </c>
    </row>
    <row r="28" spans="1:4" x14ac:dyDescent="0.3">
      <c r="A28" s="26" t="s">
        <v>466</v>
      </c>
      <c r="B28" s="26" t="s">
        <v>257</v>
      </c>
      <c r="C28" s="55">
        <f>Ore_por_UF!E31</f>
        <v>0</v>
      </c>
      <c r="D28" s="26" t="s">
        <v>467</v>
      </c>
    </row>
    <row r="29" spans="1:4" x14ac:dyDescent="0.3">
      <c r="A29" s="26" t="s">
        <v>468</v>
      </c>
      <c r="B29" s="26" t="s">
        <v>221</v>
      </c>
      <c r="C29" s="55">
        <f>Ore_por_UF!E5</f>
        <v>0</v>
      </c>
      <c r="D29" s="26" t="s">
        <v>467</v>
      </c>
    </row>
    <row r="30" spans="1:4" x14ac:dyDescent="0.3">
      <c r="A30" s="26" t="s">
        <v>468</v>
      </c>
      <c r="B30" s="26" t="s">
        <v>243</v>
      </c>
      <c r="C30" s="55">
        <f>Ore_por_UF!E6</f>
        <v>0</v>
      </c>
      <c r="D30" s="26" t="s">
        <v>467</v>
      </c>
    </row>
    <row r="31" spans="1:4" x14ac:dyDescent="0.3">
      <c r="A31" s="26" t="s">
        <v>468</v>
      </c>
      <c r="B31" s="26" t="s">
        <v>273</v>
      </c>
      <c r="C31" s="55">
        <f>Ore_por_UF!E7</f>
        <v>0</v>
      </c>
      <c r="D31" s="26" t="s">
        <v>467</v>
      </c>
    </row>
    <row r="32" spans="1:4" x14ac:dyDescent="0.3">
      <c r="A32" s="26" t="s">
        <v>468</v>
      </c>
      <c r="B32" s="26" t="s">
        <v>144</v>
      </c>
      <c r="C32" s="55">
        <f>Ore_por_UF!E8</f>
        <v>0</v>
      </c>
      <c r="D32" s="26" t="s">
        <v>467</v>
      </c>
    </row>
    <row r="33" spans="1:4" x14ac:dyDescent="0.3">
      <c r="A33" s="26" t="s">
        <v>468</v>
      </c>
      <c r="B33" s="26" t="s">
        <v>197</v>
      </c>
      <c r="C33" s="55">
        <f>Ore_por_UF!E9</f>
        <v>0</v>
      </c>
      <c r="D33" s="26" t="s">
        <v>467</v>
      </c>
    </row>
    <row r="34" spans="1:4" x14ac:dyDescent="0.3">
      <c r="A34" s="26" t="s">
        <v>468</v>
      </c>
      <c r="B34" s="26" t="s">
        <v>237</v>
      </c>
      <c r="C34" s="55">
        <f>Ore_por_UF!E10</f>
        <v>0</v>
      </c>
      <c r="D34" s="26" t="s">
        <v>467</v>
      </c>
    </row>
    <row r="35" spans="1:4" x14ac:dyDescent="0.3">
      <c r="A35" s="26" t="s">
        <v>468</v>
      </c>
      <c r="B35" s="26" t="s">
        <v>262</v>
      </c>
      <c r="C35" s="55">
        <f>Ore_por_UF!E11</f>
        <v>0</v>
      </c>
      <c r="D35" s="26" t="s">
        <v>467</v>
      </c>
    </row>
    <row r="36" spans="1:4" x14ac:dyDescent="0.3">
      <c r="A36" s="26" t="s">
        <v>468</v>
      </c>
      <c r="B36" s="26" t="s">
        <v>223</v>
      </c>
      <c r="C36" s="55">
        <f>Ore_por_UF!E12</f>
        <v>20.090437537091987</v>
      </c>
      <c r="D36" s="26" t="s">
        <v>467</v>
      </c>
    </row>
    <row r="37" spans="1:4" x14ac:dyDescent="0.3">
      <c r="A37" s="26" t="s">
        <v>468</v>
      </c>
      <c r="B37" s="26" t="s">
        <v>193</v>
      </c>
      <c r="C37" s="55">
        <f>Ore_por_UF!E13</f>
        <v>0</v>
      </c>
      <c r="D37" s="26" t="s">
        <v>467</v>
      </c>
    </row>
    <row r="38" spans="1:4" x14ac:dyDescent="0.3">
      <c r="A38" s="26" t="s">
        <v>468</v>
      </c>
      <c r="B38" s="26" t="s">
        <v>246</v>
      </c>
      <c r="C38" s="55">
        <f>Ore_por_UF!E14</f>
        <v>0</v>
      </c>
      <c r="D38" s="26" t="s">
        <v>467</v>
      </c>
    </row>
    <row r="39" spans="1:4" x14ac:dyDescent="0.3">
      <c r="A39" s="26" t="s">
        <v>468</v>
      </c>
      <c r="B39" s="26" t="s">
        <v>158</v>
      </c>
      <c r="C39" s="55">
        <f>Ore_por_UF!E15</f>
        <v>0</v>
      </c>
      <c r="D39" s="26" t="s">
        <v>467</v>
      </c>
    </row>
    <row r="40" spans="1:4" x14ac:dyDescent="0.3">
      <c r="A40" s="26" t="s">
        <v>468</v>
      </c>
      <c r="B40" s="26" t="s">
        <v>233</v>
      </c>
      <c r="C40" s="55">
        <f>Ore_por_UF!E16</f>
        <v>0</v>
      </c>
      <c r="D40" s="26" t="s">
        <v>467</v>
      </c>
    </row>
    <row r="41" spans="1:4" x14ac:dyDescent="0.3">
      <c r="A41" s="26" t="s">
        <v>468</v>
      </c>
      <c r="B41" s="26" t="s">
        <v>235</v>
      </c>
      <c r="C41" s="55">
        <f>Ore_por_UF!E17</f>
        <v>0</v>
      </c>
      <c r="D41" s="26" t="s">
        <v>467</v>
      </c>
    </row>
    <row r="42" spans="1:4" x14ac:dyDescent="0.3">
      <c r="A42" s="26" t="s">
        <v>468</v>
      </c>
      <c r="B42" s="26" t="s">
        <v>248</v>
      </c>
      <c r="C42" s="55">
        <f>Ore_por_UF!E18</f>
        <v>0</v>
      </c>
      <c r="D42" s="26" t="s">
        <v>467</v>
      </c>
    </row>
    <row r="43" spans="1:4" x14ac:dyDescent="0.3">
      <c r="A43" s="26" t="s">
        <v>468</v>
      </c>
      <c r="B43" s="26" t="s">
        <v>241</v>
      </c>
      <c r="C43" s="55">
        <f>Ore_por_UF!E19</f>
        <v>0</v>
      </c>
      <c r="D43" s="26" t="s">
        <v>467</v>
      </c>
    </row>
    <row r="44" spans="1:4" x14ac:dyDescent="0.3">
      <c r="A44" s="26" t="s">
        <v>468</v>
      </c>
      <c r="B44" s="26" t="s">
        <v>264</v>
      </c>
      <c r="C44" s="55">
        <f>Ore_por_UF!E20</f>
        <v>0</v>
      </c>
      <c r="D44" s="26" t="s">
        <v>467</v>
      </c>
    </row>
    <row r="45" spans="1:4" x14ac:dyDescent="0.3">
      <c r="A45" s="26" t="s">
        <v>468</v>
      </c>
      <c r="B45" s="26" t="s">
        <v>250</v>
      </c>
      <c r="C45" s="55">
        <f>Ore_por_UF!E21</f>
        <v>0</v>
      </c>
      <c r="D45" s="26" t="s">
        <v>467</v>
      </c>
    </row>
    <row r="46" spans="1:4" x14ac:dyDescent="0.3">
      <c r="A46" s="26" t="s">
        <v>468</v>
      </c>
      <c r="B46" s="26" t="s">
        <v>141</v>
      </c>
      <c r="C46" s="55">
        <f>Ore_por_UF!E22</f>
        <v>0</v>
      </c>
      <c r="D46" s="26" t="s">
        <v>467</v>
      </c>
    </row>
    <row r="47" spans="1:4" x14ac:dyDescent="0.3">
      <c r="A47" s="26" t="s">
        <v>468</v>
      </c>
      <c r="B47" s="26" t="s">
        <v>239</v>
      </c>
      <c r="C47" s="55">
        <f>Ore_por_UF!E23</f>
        <v>21.614230211492625</v>
      </c>
      <c r="D47" s="26" t="s">
        <v>467</v>
      </c>
    </row>
    <row r="48" spans="1:4" x14ac:dyDescent="0.3">
      <c r="A48" s="26" t="s">
        <v>468</v>
      </c>
      <c r="B48" s="26" t="s">
        <v>210</v>
      </c>
      <c r="C48" s="55">
        <f>Ore_por_UF!E24</f>
        <v>0</v>
      </c>
      <c r="D48" s="26" t="s">
        <v>467</v>
      </c>
    </row>
    <row r="49" spans="1:4" x14ac:dyDescent="0.3">
      <c r="A49" s="26" t="s">
        <v>468</v>
      </c>
      <c r="B49" s="26" t="s">
        <v>252</v>
      </c>
      <c r="C49" s="55">
        <f>Ore_por_UF!E25</f>
        <v>0</v>
      </c>
      <c r="D49" s="26" t="s">
        <v>467</v>
      </c>
    </row>
    <row r="50" spans="1:4" x14ac:dyDescent="0.3">
      <c r="A50" s="26" t="s">
        <v>468</v>
      </c>
      <c r="B50" s="26" t="s">
        <v>271</v>
      </c>
      <c r="C50" s="55">
        <f>Ore_por_UF!E26</f>
        <v>0</v>
      </c>
      <c r="D50" s="26" t="s">
        <v>467</v>
      </c>
    </row>
    <row r="51" spans="1:4" x14ac:dyDescent="0.3">
      <c r="A51" s="26" t="s">
        <v>468</v>
      </c>
      <c r="B51" s="26" t="s">
        <v>151</v>
      </c>
      <c r="C51" s="55">
        <f>Ore_por_UF!E27</f>
        <v>0</v>
      </c>
      <c r="D51" s="26" t="s">
        <v>467</v>
      </c>
    </row>
    <row r="52" spans="1:4" x14ac:dyDescent="0.3">
      <c r="A52" s="26" t="s">
        <v>468</v>
      </c>
      <c r="B52" s="26" t="s">
        <v>155</v>
      </c>
      <c r="C52" s="55">
        <f>Ore_por_UF!E28</f>
        <v>0</v>
      </c>
      <c r="D52" s="26" t="s">
        <v>467</v>
      </c>
    </row>
    <row r="53" spans="1:4" x14ac:dyDescent="0.3">
      <c r="A53" s="26" t="s">
        <v>468</v>
      </c>
      <c r="B53" s="26" t="s">
        <v>254</v>
      </c>
      <c r="C53" s="55">
        <f>Ore_por_UF!E29</f>
        <v>0</v>
      </c>
      <c r="D53" s="26" t="s">
        <v>467</v>
      </c>
    </row>
    <row r="54" spans="1:4" x14ac:dyDescent="0.3">
      <c r="A54" s="26" t="s">
        <v>468</v>
      </c>
      <c r="B54" s="26" t="s">
        <v>212</v>
      </c>
      <c r="C54" s="55">
        <f>Ore_por_UF!E30</f>
        <v>0</v>
      </c>
      <c r="D54" s="26" t="s">
        <v>467</v>
      </c>
    </row>
    <row r="55" spans="1:4" x14ac:dyDescent="0.3">
      <c r="A55" s="26" t="s">
        <v>468</v>
      </c>
      <c r="B55" s="26" t="s">
        <v>257</v>
      </c>
      <c r="C55" s="55">
        <f>Ore_por_UF!E31</f>
        <v>0</v>
      </c>
      <c r="D55" s="26" t="s">
        <v>467</v>
      </c>
    </row>
    <row r="56" spans="1:4" x14ac:dyDescent="0.3">
      <c r="A56" s="26" t="s">
        <v>469</v>
      </c>
      <c r="B56" s="26" t="s">
        <v>221</v>
      </c>
      <c r="C56" s="55">
        <f>Ore_por_UF!E5</f>
        <v>0</v>
      </c>
      <c r="D56" s="26" t="s">
        <v>467</v>
      </c>
    </row>
    <row r="57" spans="1:4" x14ac:dyDescent="0.3">
      <c r="A57" s="26" t="s">
        <v>469</v>
      </c>
      <c r="B57" s="26" t="s">
        <v>243</v>
      </c>
      <c r="C57" s="55">
        <f>Ore_por_UF!E6</f>
        <v>0</v>
      </c>
      <c r="D57" s="26" t="s">
        <v>467</v>
      </c>
    </row>
    <row r="58" spans="1:4" x14ac:dyDescent="0.3">
      <c r="A58" s="26" t="s">
        <v>469</v>
      </c>
      <c r="B58" s="26" t="s">
        <v>273</v>
      </c>
      <c r="C58" s="55">
        <f>Ore_por_UF!E7</f>
        <v>0</v>
      </c>
      <c r="D58" s="26" t="s">
        <v>467</v>
      </c>
    </row>
    <row r="59" spans="1:4" x14ac:dyDescent="0.3">
      <c r="A59" s="26" t="s">
        <v>469</v>
      </c>
      <c r="B59" s="26" t="s">
        <v>144</v>
      </c>
      <c r="C59" s="55">
        <f>Ore_por_UF!E8</f>
        <v>0</v>
      </c>
      <c r="D59" s="26" t="s">
        <v>467</v>
      </c>
    </row>
    <row r="60" spans="1:4" x14ac:dyDescent="0.3">
      <c r="A60" s="26" t="s">
        <v>469</v>
      </c>
      <c r="B60" s="26" t="s">
        <v>197</v>
      </c>
      <c r="C60" s="55">
        <f>Ore_por_UF!E9</f>
        <v>0</v>
      </c>
      <c r="D60" s="26" t="s">
        <v>467</v>
      </c>
    </row>
    <row r="61" spans="1:4" x14ac:dyDescent="0.3">
      <c r="A61" s="26" t="s">
        <v>469</v>
      </c>
      <c r="B61" s="26" t="s">
        <v>237</v>
      </c>
      <c r="C61" s="55">
        <f>Ore_por_UF!E10</f>
        <v>0</v>
      </c>
      <c r="D61" s="26" t="s">
        <v>467</v>
      </c>
    </row>
    <row r="62" spans="1:4" x14ac:dyDescent="0.3">
      <c r="A62" s="26" t="s">
        <v>469</v>
      </c>
      <c r="B62" s="26" t="s">
        <v>262</v>
      </c>
      <c r="C62" s="55">
        <f>Ore_por_UF!E11</f>
        <v>0</v>
      </c>
      <c r="D62" s="26" t="s">
        <v>467</v>
      </c>
    </row>
    <row r="63" spans="1:4" x14ac:dyDescent="0.3">
      <c r="A63" s="26" t="s">
        <v>469</v>
      </c>
      <c r="B63" s="26" t="s">
        <v>223</v>
      </c>
      <c r="C63" s="55">
        <f>Ore_por_UF!E12</f>
        <v>20.090437537091987</v>
      </c>
      <c r="D63" s="26" t="s">
        <v>467</v>
      </c>
    </row>
    <row r="64" spans="1:4" x14ac:dyDescent="0.3">
      <c r="A64" s="26" t="s">
        <v>469</v>
      </c>
      <c r="B64" s="26" t="s">
        <v>193</v>
      </c>
      <c r="C64" s="55">
        <f>Ore_por_UF!E13</f>
        <v>0</v>
      </c>
      <c r="D64" s="26" t="s">
        <v>467</v>
      </c>
    </row>
    <row r="65" spans="1:4" x14ac:dyDescent="0.3">
      <c r="A65" s="26" t="s">
        <v>469</v>
      </c>
      <c r="B65" s="26" t="s">
        <v>246</v>
      </c>
      <c r="C65" s="55">
        <f>Ore_por_UF!E14</f>
        <v>0</v>
      </c>
      <c r="D65" s="26" t="s">
        <v>467</v>
      </c>
    </row>
    <row r="66" spans="1:4" x14ac:dyDescent="0.3">
      <c r="A66" s="26" t="s">
        <v>469</v>
      </c>
      <c r="B66" s="26" t="s">
        <v>158</v>
      </c>
      <c r="C66" s="55">
        <f>Ore_por_UF!E15</f>
        <v>0</v>
      </c>
      <c r="D66" s="26" t="s">
        <v>467</v>
      </c>
    </row>
    <row r="67" spans="1:4" x14ac:dyDescent="0.3">
      <c r="A67" s="26" t="s">
        <v>469</v>
      </c>
      <c r="B67" s="26" t="s">
        <v>233</v>
      </c>
      <c r="C67" s="55">
        <f>Ore_por_UF!E16</f>
        <v>0</v>
      </c>
      <c r="D67" s="26" t="s">
        <v>467</v>
      </c>
    </row>
    <row r="68" spans="1:4" x14ac:dyDescent="0.3">
      <c r="A68" s="26" t="s">
        <v>469</v>
      </c>
      <c r="B68" s="26" t="s">
        <v>235</v>
      </c>
      <c r="C68" s="55">
        <f>Ore_por_UF!E17</f>
        <v>0</v>
      </c>
      <c r="D68" s="26" t="s">
        <v>467</v>
      </c>
    </row>
    <row r="69" spans="1:4" x14ac:dyDescent="0.3">
      <c r="A69" s="26" t="s">
        <v>469</v>
      </c>
      <c r="B69" s="26" t="s">
        <v>248</v>
      </c>
      <c r="C69" s="55">
        <f>Ore_por_UF!E18</f>
        <v>0</v>
      </c>
      <c r="D69" s="26" t="s">
        <v>467</v>
      </c>
    </row>
    <row r="70" spans="1:4" x14ac:dyDescent="0.3">
      <c r="A70" s="26" t="s">
        <v>469</v>
      </c>
      <c r="B70" s="26" t="s">
        <v>241</v>
      </c>
      <c r="C70" s="55">
        <f>Ore_por_UF!E19</f>
        <v>0</v>
      </c>
      <c r="D70" s="26" t="s">
        <v>467</v>
      </c>
    </row>
    <row r="71" spans="1:4" x14ac:dyDescent="0.3">
      <c r="A71" s="26" t="s">
        <v>469</v>
      </c>
      <c r="B71" s="26" t="s">
        <v>264</v>
      </c>
      <c r="C71" s="55">
        <f>Ore_por_UF!E20</f>
        <v>0</v>
      </c>
      <c r="D71" s="26" t="s">
        <v>467</v>
      </c>
    </row>
    <row r="72" spans="1:4" x14ac:dyDescent="0.3">
      <c r="A72" s="26" t="s">
        <v>469</v>
      </c>
      <c r="B72" s="26" t="s">
        <v>250</v>
      </c>
      <c r="C72" s="55">
        <f>Ore_por_UF!E21</f>
        <v>0</v>
      </c>
      <c r="D72" s="26" t="s">
        <v>467</v>
      </c>
    </row>
    <row r="73" spans="1:4" x14ac:dyDescent="0.3">
      <c r="A73" s="26" t="s">
        <v>469</v>
      </c>
      <c r="B73" s="26" t="s">
        <v>141</v>
      </c>
      <c r="C73" s="55">
        <f>Ore_por_UF!E22</f>
        <v>0</v>
      </c>
      <c r="D73" s="26" t="s">
        <v>467</v>
      </c>
    </row>
    <row r="74" spans="1:4" x14ac:dyDescent="0.3">
      <c r="A74" s="26" t="s">
        <v>469</v>
      </c>
      <c r="B74" s="26" t="s">
        <v>239</v>
      </c>
      <c r="C74" s="55">
        <f>Ore_por_UF!E23</f>
        <v>21.614230211492625</v>
      </c>
      <c r="D74" s="26" t="s">
        <v>467</v>
      </c>
    </row>
    <row r="75" spans="1:4" x14ac:dyDescent="0.3">
      <c r="A75" s="26" t="s">
        <v>469</v>
      </c>
      <c r="B75" s="26" t="s">
        <v>210</v>
      </c>
      <c r="C75" s="55">
        <f>Ore_por_UF!E24</f>
        <v>0</v>
      </c>
      <c r="D75" s="26" t="s">
        <v>467</v>
      </c>
    </row>
    <row r="76" spans="1:4" x14ac:dyDescent="0.3">
      <c r="A76" s="26" t="s">
        <v>469</v>
      </c>
      <c r="B76" s="26" t="s">
        <v>252</v>
      </c>
      <c r="C76" s="55">
        <f>Ore_por_UF!E25</f>
        <v>0</v>
      </c>
      <c r="D76" s="26" t="s">
        <v>467</v>
      </c>
    </row>
    <row r="77" spans="1:4" x14ac:dyDescent="0.3">
      <c r="A77" s="26" t="s">
        <v>469</v>
      </c>
      <c r="B77" s="26" t="s">
        <v>271</v>
      </c>
      <c r="C77" s="55">
        <f>Ore_por_UF!E26</f>
        <v>0</v>
      </c>
      <c r="D77" s="26" t="s">
        <v>467</v>
      </c>
    </row>
    <row r="78" spans="1:4" x14ac:dyDescent="0.3">
      <c r="A78" s="26" t="s">
        <v>469</v>
      </c>
      <c r="B78" s="26" t="s">
        <v>151</v>
      </c>
      <c r="C78" s="55">
        <f>Ore_por_UF!E27</f>
        <v>0</v>
      </c>
      <c r="D78" s="26" t="s">
        <v>467</v>
      </c>
    </row>
    <row r="79" spans="1:4" x14ac:dyDescent="0.3">
      <c r="A79" s="26" t="s">
        <v>469</v>
      </c>
      <c r="B79" s="26" t="s">
        <v>155</v>
      </c>
      <c r="C79" s="55">
        <f>Ore_por_UF!E28</f>
        <v>0</v>
      </c>
      <c r="D79" s="26" t="s">
        <v>467</v>
      </c>
    </row>
    <row r="80" spans="1:4" x14ac:dyDescent="0.3">
      <c r="A80" s="26" t="s">
        <v>469</v>
      </c>
      <c r="B80" s="26" t="s">
        <v>254</v>
      </c>
      <c r="C80" s="55">
        <f>Ore_por_UF!E29</f>
        <v>0</v>
      </c>
      <c r="D80" s="26" t="s">
        <v>467</v>
      </c>
    </row>
    <row r="81" spans="1:4" x14ac:dyDescent="0.3">
      <c r="A81" s="26" t="s">
        <v>469</v>
      </c>
      <c r="B81" s="26" t="s">
        <v>212</v>
      </c>
      <c r="C81" s="55">
        <f>Ore_por_UF!E30</f>
        <v>0</v>
      </c>
      <c r="D81" s="26" t="s">
        <v>467</v>
      </c>
    </row>
    <row r="82" spans="1:4" x14ac:dyDescent="0.3">
      <c r="A82" s="26" t="s">
        <v>469</v>
      </c>
      <c r="B82" s="26" t="s">
        <v>257</v>
      </c>
      <c r="C82" s="55">
        <f>Ore_por_UF!E31</f>
        <v>0</v>
      </c>
      <c r="D82" s="26" t="s">
        <v>467</v>
      </c>
    </row>
    <row r="83" spans="1:4" x14ac:dyDescent="0.3">
      <c r="A83" s="26" t="s">
        <v>470</v>
      </c>
      <c r="B83" s="26" t="s">
        <v>221</v>
      </c>
      <c r="C83" s="55">
        <f>Ore_por_UF!E5</f>
        <v>0</v>
      </c>
      <c r="D83" s="26" t="s">
        <v>467</v>
      </c>
    </row>
    <row r="84" spans="1:4" x14ac:dyDescent="0.3">
      <c r="A84" s="26" t="s">
        <v>470</v>
      </c>
      <c r="B84" s="26" t="s">
        <v>243</v>
      </c>
      <c r="C84" s="55">
        <f>Ore_por_UF!E6</f>
        <v>0</v>
      </c>
      <c r="D84" s="26" t="s">
        <v>467</v>
      </c>
    </row>
    <row r="85" spans="1:4" x14ac:dyDescent="0.3">
      <c r="A85" s="26" t="s">
        <v>470</v>
      </c>
      <c r="B85" s="26" t="s">
        <v>273</v>
      </c>
      <c r="C85" s="55">
        <f>Ore_por_UF!E7</f>
        <v>0</v>
      </c>
      <c r="D85" s="26" t="s">
        <v>467</v>
      </c>
    </row>
    <row r="86" spans="1:4" x14ac:dyDescent="0.3">
      <c r="A86" s="26" t="s">
        <v>470</v>
      </c>
      <c r="B86" s="26" t="s">
        <v>144</v>
      </c>
      <c r="C86" s="55">
        <f>Ore_por_UF!E8</f>
        <v>0</v>
      </c>
      <c r="D86" s="26" t="s">
        <v>467</v>
      </c>
    </row>
    <row r="87" spans="1:4" x14ac:dyDescent="0.3">
      <c r="A87" s="26" t="s">
        <v>470</v>
      </c>
      <c r="B87" s="26" t="s">
        <v>197</v>
      </c>
      <c r="C87" s="55">
        <f>Ore_por_UF!E9</f>
        <v>0</v>
      </c>
      <c r="D87" s="26" t="s">
        <v>467</v>
      </c>
    </row>
    <row r="88" spans="1:4" x14ac:dyDescent="0.3">
      <c r="A88" s="26" t="s">
        <v>470</v>
      </c>
      <c r="B88" s="26" t="s">
        <v>237</v>
      </c>
      <c r="C88" s="55">
        <f>Ore_por_UF!E10</f>
        <v>0</v>
      </c>
      <c r="D88" s="26" t="s">
        <v>467</v>
      </c>
    </row>
    <row r="89" spans="1:4" x14ac:dyDescent="0.3">
      <c r="A89" s="26" t="s">
        <v>470</v>
      </c>
      <c r="B89" s="26" t="s">
        <v>262</v>
      </c>
      <c r="C89" s="55">
        <f>Ore_por_UF!E11</f>
        <v>0</v>
      </c>
      <c r="D89" s="26" t="s">
        <v>467</v>
      </c>
    </row>
    <row r="90" spans="1:4" x14ac:dyDescent="0.3">
      <c r="A90" s="26" t="s">
        <v>470</v>
      </c>
      <c r="B90" s="26" t="s">
        <v>223</v>
      </c>
      <c r="C90" s="55">
        <f>Ore_por_UF!E12</f>
        <v>20.090437537091987</v>
      </c>
      <c r="D90" s="26" t="s">
        <v>467</v>
      </c>
    </row>
    <row r="91" spans="1:4" x14ac:dyDescent="0.3">
      <c r="A91" s="26" t="s">
        <v>470</v>
      </c>
      <c r="B91" s="26" t="s">
        <v>193</v>
      </c>
      <c r="C91" s="55">
        <f>Ore_por_UF!E13</f>
        <v>0</v>
      </c>
      <c r="D91" s="26" t="s">
        <v>467</v>
      </c>
    </row>
    <row r="92" spans="1:4" x14ac:dyDescent="0.3">
      <c r="A92" s="26" t="s">
        <v>470</v>
      </c>
      <c r="B92" s="26" t="s">
        <v>246</v>
      </c>
      <c r="C92" s="55">
        <f>Ore_por_UF!E14</f>
        <v>0</v>
      </c>
      <c r="D92" s="26" t="s">
        <v>467</v>
      </c>
    </row>
    <row r="93" spans="1:4" x14ac:dyDescent="0.3">
      <c r="A93" s="26" t="s">
        <v>470</v>
      </c>
      <c r="B93" s="26" t="s">
        <v>158</v>
      </c>
      <c r="C93" s="55">
        <f>Ore_por_UF!E15</f>
        <v>0</v>
      </c>
      <c r="D93" s="26" t="s">
        <v>467</v>
      </c>
    </row>
    <row r="94" spans="1:4" x14ac:dyDescent="0.3">
      <c r="A94" s="26" t="s">
        <v>470</v>
      </c>
      <c r="B94" s="26" t="s">
        <v>233</v>
      </c>
      <c r="C94" s="55">
        <f>Ore_por_UF!E16</f>
        <v>0</v>
      </c>
      <c r="D94" s="26" t="s">
        <v>467</v>
      </c>
    </row>
    <row r="95" spans="1:4" x14ac:dyDescent="0.3">
      <c r="A95" s="26" t="s">
        <v>470</v>
      </c>
      <c r="B95" s="26" t="s">
        <v>235</v>
      </c>
      <c r="C95" s="55">
        <f>Ore_por_UF!E17</f>
        <v>0</v>
      </c>
      <c r="D95" s="26" t="s">
        <v>467</v>
      </c>
    </row>
    <row r="96" spans="1:4" x14ac:dyDescent="0.3">
      <c r="A96" s="26" t="s">
        <v>470</v>
      </c>
      <c r="B96" s="26" t="s">
        <v>248</v>
      </c>
      <c r="C96" s="55">
        <f>Ore_por_UF!E18</f>
        <v>0</v>
      </c>
      <c r="D96" s="26" t="s">
        <v>467</v>
      </c>
    </row>
    <row r="97" spans="1:4" x14ac:dyDescent="0.3">
      <c r="A97" s="26" t="s">
        <v>470</v>
      </c>
      <c r="B97" s="26" t="s">
        <v>241</v>
      </c>
      <c r="C97" s="55">
        <f>Ore_por_UF!E19</f>
        <v>0</v>
      </c>
      <c r="D97" s="26" t="s">
        <v>467</v>
      </c>
    </row>
    <row r="98" spans="1:4" x14ac:dyDescent="0.3">
      <c r="A98" s="26" t="s">
        <v>470</v>
      </c>
      <c r="B98" s="26" t="s">
        <v>264</v>
      </c>
      <c r="C98" s="55">
        <f>Ore_por_UF!E20</f>
        <v>0</v>
      </c>
      <c r="D98" s="26" t="s">
        <v>467</v>
      </c>
    </row>
    <row r="99" spans="1:4" x14ac:dyDescent="0.3">
      <c r="A99" s="26" t="s">
        <v>470</v>
      </c>
      <c r="B99" s="26" t="s">
        <v>250</v>
      </c>
      <c r="C99" s="55">
        <f>Ore_por_UF!E21</f>
        <v>0</v>
      </c>
      <c r="D99" s="26" t="s">
        <v>467</v>
      </c>
    </row>
    <row r="100" spans="1:4" x14ac:dyDescent="0.3">
      <c r="A100" s="26" t="s">
        <v>470</v>
      </c>
      <c r="B100" s="26" t="s">
        <v>141</v>
      </c>
      <c r="C100" s="55">
        <f>Ore_por_UF!E22</f>
        <v>0</v>
      </c>
      <c r="D100" s="26" t="s">
        <v>467</v>
      </c>
    </row>
    <row r="101" spans="1:4" x14ac:dyDescent="0.3">
      <c r="A101" s="26" t="s">
        <v>470</v>
      </c>
      <c r="B101" s="26" t="s">
        <v>239</v>
      </c>
      <c r="C101" s="55">
        <f>Ore_por_UF!E23</f>
        <v>21.614230211492625</v>
      </c>
      <c r="D101" s="26" t="s">
        <v>467</v>
      </c>
    </row>
    <row r="102" spans="1:4" x14ac:dyDescent="0.3">
      <c r="A102" s="26" t="s">
        <v>470</v>
      </c>
      <c r="B102" s="26" t="s">
        <v>210</v>
      </c>
      <c r="C102" s="55">
        <f>Ore_por_UF!E24</f>
        <v>0</v>
      </c>
      <c r="D102" s="26" t="s">
        <v>467</v>
      </c>
    </row>
    <row r="103" spans="1:4" x14ac:dyDescent="0.3">
      <c r="A103" s="26" t="s">
        <v>470</v>
      </c>
      <c r="B103" s="26" t="s">
        <v>252</v>
      </c>
      <c r="C103" s="55">
        <f>Ore_por_UF!E25</f>
        <v>0</v>
      </c>
      <c r="D103" s="26" t="s">
        <v>467</v>
      </c>
    </row>
    <row r="104" spans="1:4" x14ac:dyDescent="0.3">
      <c r="A104" s="26" t="s">
        <v>470</v>
      </c>
      <c r="B104" s="26" t="s">
        <v>271</v>
      </c>
      <c r="C104" s="55">
        <f>Ore_por_UF!E26</f>
        <v>0</v>
      </c>
      <c r="D104" s="26" t="s">
        <v>467</v>
      </c>
    </row>
    <row r="105" spans="1:4" x14ac:dyDescent="0.3">
      <c r="A105" s="26" t="s">
        <v>470</v>
      </c>
      <c r="B105" s="26" t="s">
        <v>151</v>
      </c>
      <c r="C105" s="55">
        <f>Ore_por_UF!E27</f>
        <v>0</v>
      </c>
      <c r="D105" s="26" t="s">
        <v>467</v>
      </c>
    </row>
    <row r="106" spans="1:4" x14ac:dyDescent="0.3">
      <c r="A106" s="26" t="s">
        <v>470</v>
      </c>
      <c r="B106" s="26" t="s">
        <v>155</v>
      </c>
      <c r="C106" s="55">
        <f>Ore_por_UF!E28</f>
        <v>0</v>
      </c>
      <c r="D106" s="26" t="s">
        <v>467</v>
      </c>
    </row>
    <row r="107" spans="1:4" x14ac:dyDescent="0.3">
      <c r="A107" s="26" t="s">
        <v>470</v>
      </c>
      <c r="B107" s="26" t="s">
        <v>254</v>
      </c>
      <c r="C107" s="55">
        <f>Ore_por_UF!E29</f>
        <v>0</v>
      </c>
      <c r="D107" s="26" t="s">
        <v>467</v>
      </c>
    </row>
    <row r="108" spans="1:4" x14ac:dyDescent="0.3">
      <c r="A108" s="26" t="s">
        <v>470</v>
      </c>
      <c r="B108" s="26" t="s">
        <v>212</v>
      </c>
      <c r="C108" s="55">
        <f>Ore_por_UF!E30</f>
        <v>0</v>
      </c>
      <c r="D108" s="26" t="s">
        <v>467</v>
      </c>
    </row>
    <row r="109" spans="1:4" x14ac:dyDescent="0.3">
      <c r="A109" s="26" t="s">
        <v>470</v>
      </c>
      <c r="B109" s="26" t="s">
        <v>257</v>
      </c>
      <c r="C109" s="55">
        <f>Ore_por_UF!E31</f>
        <v>0</v>
      </c>
      <c r="D109" s="26" t="s">
        <v>467</v>
      </c>
    </row>
    <row r="110" spans="1:4" x14ac:dyDescent="0.3">
      <c r="A110" s="26" t="s">
        <v>471</v>
      </c>
      <c r="B110" s="26" t="s">
        <v>221</v>
      </c>
      <c r="C110" s="55">
        <f>Ore_por_UF!G5</f>
        <v>0</v>
      </c>
      <c r="D110" s="26" t="s">
        <v>472</v>
      </c>
    </row>
    <row r="111" spans="1:4" x14ac:dyDescent="0.3">
      <c r="A111" s="26" t="s">
        <v>471</v>
      </c>
      <c r="B111" s="26" t="s">
        <v>243</v>
      </c>
      <c r="C111" s="55">
        <f>Ore_por_UF!G6</f>
        <v>0</v>
      </c>
      <c r="D111" s="26" t="s">
        <v>472</v>
      </c>
    </row>
    <row r="112" spans="1:4" x14ac:dyDescent="0.3">
      <c r="A112" s="26" t="s">
        <v>471</v>
      </c>
      <c r="B112" s="26" t="s">
        <v>273</v>
      </c>
      <c r="C112" s="55">
        <f>Ore_por_UF!G7</f>
        <v>0</v>
      </c>
      <c r="D112" s="26" t="s">
        <v>472</v>
      </c>
    </row>
    <row r="113" spans="1:4" x14ac:dyDescent="0.3">
      <c r="A113" s="26" t="s">
        <v>471</v>
      </c>
      <c r="B113" s="26" t="s">
        <v>144</v>
      </c>
      <c r="C113" s="55">
        <f>Ore_por_UF!G8</f>
        <v>0</v>
      </c>
      <c r="D113" s="26" t="s">
        <v>472</v>
      </c>
    </row>
    <row r="114" spans="1:4" x14ac:dyDescent="0.3">
      <c r="A114" s="26" t="s">
        <v>471</v>
      </c>
      <c r="B114" s="26" t="s">
        <v>197</v>
      </c>
      <c r="C114" s="55">
        <f>Ore_por_UF!G9</f>
        <v>0</v>
      </c>
      <c r="D114" s="26" t="s">
        <v>472</v>
      </c>
    </row>
    <row r="115" spans="1:4" x14ac:dyDescent="0.3">
      <c r="A115" s="26" t="s">
        <v>471</v>
      </c>
      <c r="B115" s="26" t="s">
        <v>237</v>
      </c>
      <c r="C115" s="55">
        <f>Ore_por_UF!G10</f>
        <v>0</v>
      </c>
      <c r="D115" s="26" t="s">
        <v>472</v>
      </c>
    </row>
    <row r="116" spans="1:4" x14ac:dyDescent="0.3">
      <c r="A116" s="26" t="s">
        <v>471</v>
      </c>
      <c r="B116" s="26" t="s">
        <v>262</v>
      </c>
      <c r="C116" s="55">
        <f>Ore_por_UF!G11</f>
        <v>0</v>
      </c>
      <c r="D116" s="26" t="s">
        <v>472</v>
      </c>
    </row>
    <row r="117" spans="1:4" x14ac:dyDescent="0.3">
      <c r="A117" s="26" t="s">
        <v>471</v>
      </c>
      <c r="B117" s="26" t="s">
        <v>223</v>
      </c>
      <c r="C117" s="55">
        <f>Ore_por_UF!G12</f>
        <v>0</v>
      </c>
      <c r="D117" s="26" t="s">
        <v>472</v>
      </c>
    </row>
    <row r="118" spans="1:4" x14ac:dyDescent="0.3">
      <c r="A118" s="26" t="s">
        <v>471</v>
      </c>
      <c r="B118" s="26" t="s">
        <v>193</v>
      </c>
      <c r="C118" s="55">
        <f>Ore_por_UF!G13</f>
        <v>0</v>
      </c>
      <c r="D118" s="26" t="s">
        <v>472</v>
      </c>
    </row>
    <row r="119" spans="1:4" x14ac:dyDescent="0.3">
      <c r="A119" s="26" t="s">
        <v>471</v>
      </c>
      <c r="B119" s="26" t="s">
        <v>246</v>
      </c>
      <c r="C119" s="55">
        <f>Ore_por_UF!G14</f>
        <v>0</v>
      </c>
      <c r="D119" s="26" t="s">
        <v>472</v>
      </c>
    </row>
    <row r="120" spans="1:4" x14ac:dyDescent="0.3">
      <c r="A120" s="26" t="s">
        <v>471</v>
      </c>
      <c r="B120" s="26" t="s">
        <v>158</v>
      </c>
      <c r="C120" s="55">
        <f>Ore_por_UF!G15</f>
        <v>0</v>
      </c>
      <c r="D120" s="26" t="s">
        <v>472</v>
      </c>
    </row>
    <row r="121" spans="1:4" x14ac:dyDescent="0.3">
      <c r="A121" s="26" t="s">
        <v>471</v>
      </c>
      <c r="B121" s="26" t="s">
        <v>233</v>
      </c>
      <c r="C121" s="55">
        <f>Ore_por_UF!G16</f>
        <v>0</v>
      </c>
      <c r="D121" s="26" t="s">
        <v>472</v>
      </c>
    </row>
    <row r="122" spans="1:4" x14ac:dyDescent="0.3">
      <c r="A122" s="26" t="s">
        <v>471</v>
      </c>
      <c r="B122" s="26" t="s">
        <v>235</v>
      </c>
      <c r="C122" s="55">
        <f>Ore_por_UF!G17</f>
        <v>0</v>
      </c>
      <c r="D122" s="26" t="s">
        <v>472</v>
      </c>
    </row>
    <row r="123" spans="1:4" x14ac:dyDescent="0.3">
      <c r="A123" s="26" t="s">
        <v>471</v>
      </c>
      <c r="B123" s="26" t="s">
        <v>248</v>
      </c>
      <c r="C123" s="55">
        <f>Ore_por_UF!G18</f>
        <v>0</v>
      </c>
      <c r="D123" s="26" t="s">
        <v>472</v>
      </c>
    </row>
    <row r="124" spans="1:4" x14ac:dyDescent="0.3">
      <c r="A124" s="26" t="s">
        <v>471</v>
      </c>
      <c r="B124" s="26" t="s">
        <v>241</v>
      </c>
      <c r="C124" s="55">
        <f>Ore_por_UF!G19</f>
        <v>0</v>
      </c>
      <c r="D124" s="26" t="s">
        <v>472</v>
      </c>
    </row>
    <row r="125" spans="1:4" x14ac:dyDescent="0.3">
      <c r="A125" s="26" t="s">
        <v>471</v>
      </c>
      <c r="B125" s="26" t="s">
        <v>264</v>
      </c>
      <c r="C125" s="55">
        <f>Ore_por_UF!G20</f>
        <v>0</v>
      </c>
      <c r="D125" s="26" t="s">
        <v>472</v>
      </c>
    </row>
    <row r="126" spans="1:4" x14ac:dyDescent="0.3">
      <c r="A126" s="26" t="s">
        <v>471</v>
      </c>
      <c r="B126" s="26" t="s">
        <v>250</v>
      </c>
      <c r="C126" s="55">
        <f>Ore_por_UF!G21</f>
        <v>0</v>
      </c>
      <c r="D126" s="26" t="s">
        <v>472</v>
      </c>
    </row>
    <row r="127" spans="1:4" x14ac:dyDescent="0.3">
      <c r="A127" s="26" t="s">
        <v>471</v>
      </c>
      <c r="B127" s="26" t="s">
        <v>141</v>
      </c>
      <c r="C127" s="55">
        <f>Ore_por_UF!G22</f>
        <v>0</v>
      </c>
      <c r="D127" s="26" t="s">
        <v>472</v>
      </c>
    </row>
    <row r="128" spans="1:4" x14ac:dyDescent="0.3">
      <c r="A128" s="26" t="s">
        <v>471</v>
      </c>
      <c r="B128" s="26" t="s">
        <v>239</v>
      </c>
      <c r="C128" s="55">
        <f>Ore_por_UF!G23</f>
        <v>0</v>
      </c>
      <c r="D128" s="26" t="s">
        <v>472</v>
      </c>
    </row>
    <row r="129" spans="1:4" x14ac:dyDescent="0.3">
      <c r="A129" s="26" t="s">
        <v>471</v>
      </c>
      <c r="B129" s="26" t="s">
        <v>210</v>
      </c>
      <c r="C129" s="55">
        <f>Ore_por_UF!G24</f>
        <v>0</v>
      </c>
      <c r="D129" s="26" t="s">
        <v>472</v>
      </c>
    </row>
    <row r="130" spans="1:4" x14ac:dyDescent="0.3">
      <c r="A130" s="26" t="s">
        <v>471</v>
      </c>
      <c r="B130" s="26" t="s">
        <v>252</v>
      </c>
      <c r="C130" s="55">
        <f>Ore_por_UF!G25</f>
        <v>0</v>
      </c>
      <c r="D130" s="26" t="s">
        <v>472</v>
      </c>
    </row>
    <row r="131" spans="1:4" x14ac:dyDescent="0.3">
      <c r="A131" s="26" t="s">
        <v>471</v>
      </c>
      <c r="B131" s="26" t="s">
        <v>271</v>
      </c>
      <c r="C131" s="55">
        <f>Ore_por_UF!G26</f>
        <v>0</v>
      </c>
      <c r="D131" s="26" t="s">
        <v>472</v>
      </c>
    </row>
    <row r="132" spans="1:4" x14ac:dyDescent="0.3">
      <c r="A132" s="26" t="s">
        <v>471</v>
      </c>
      <c r="B132" s="26" t="s">
        <v>151</v>
      </c>
      <c r="C132" s="55">
        <f>Ore_por_UF!G27</f>
        <v>0</v>
      </c>
      <c r="D132" s="26" t="s">
        <v>472</v>
      </c>
    </row>
    <row r="133" spans="1:4" x14ac:dyDescent="0.3">
      <c r="A133" s="26" t="s">
        <v>471</v>
      </c>
      <c r="B133" s="26" t="s">
        <v>155</v>
      </c>
      <c r="C133" s="55">
        <f>Ore_por_UF!G28</f>
        <v>0</v>
      </c>
      <c r="D133" s="26" t="s">
        <v>472</v>
      </c>
    </row>
    <row r="134" spans="1:4" x14ac:dyDescent="0.3">
      <c r="A134" s="26" t="s">
        <v>471</v>
      </c>
      <c r="B134" s="26" t="s">
        <v>254</v>
      </c>
      <c r="C134" s="55">
        <f>Ore_por_UF!G29</f>
        <v>0</v>
      </c>
      <c r="D134" s="26" t="s">
        <v>472</v>
      </c>
    </row>
    <row r="135" spans="1:4" x14ac:dyDescent="0.3">
      <c r="A135" s="26" t="s">
        <v>471</v>
      </c>
      <c r="B135" s="26" t="s">
        <v>212</v>
      </c>
      <c r="C135" s="55">
        <f>Ore_por_UF!G30</f>
        <v>0</v>
      </c>
      <c r="D135" s="26" t="s">
        <v>472</v>
      </c>
    </row>
    <row r="136" spans="1:4" x14ac:dyDescent="0.3">
      <c r="A136" s="26" t="s">
        <v>471</v>
      </c>
      <c r="B136" s="26" t="s">
        <v>257</v>
      </c>
      <c r="C136" s="55">
        <f>Ore_por_UF!G31</f>
        <v>0</v>
      </c>
      <c r="D136" s="26" t="s">
        <v>472</v>
      </c>
    </row>
    <row r="137" spans="1:4" x14ac:dyDescent="0.3">
      <c r="A137" s="26" t="s">
        <v>473</v>
      </c>
      <c r="B137" s="26" t="s">
        <v>221</v>
      </c>
      <c r="C137" s="55">
        <f>Ore_por_UF!G5</f>
        <v>0</v>
      </c>
      <c r="D137" s="26" t="s">
        <v>472</v>
      </c>
    </row>
    <row r="138" spans="1:4" x14ac:dyDescent="0.3">
      <c r="A138" s="26" t="s">
        <v>473</v>
      </c>
      <c r="B138" s="26" t="s">
        <v>243</v>
      </c>
      <c r="C138" s="55">
        <f>Ore_por_UF!G6</f>
        <v>0</v>
      </c>
      <c r="D138" s="26" t="s">
        <v>472</v>
      </c>
    </row>
    <row r="139" spans="1:4" x14ac:dyDescent="0.3">
      <c r="A139" s="26" t="s">
        <v>473</v>
      </c>
      <c r="B139" s="26" t="s">
        <v>273</v>
      </c>
      <c r="C139" s="55">
        <f>Ore_por_UF!G7</f>
        <v>0</v>
      </c>
      <c r="D139" s="26" t="s">
        <v>472</v>
      </c>
    </row>
    <row r="140" spans="1:4" x14ac:dyDescent="0.3">
      <c r="A140" s="26" t="s">
        <v>473</v>
      </c>
      <c r="B140" s="26" t="s">
        <v>144</v>
      </c>
      <c r="C140" s="55">
        <f>Ore_por_UF!G8</f>
        <v>0</v>
      </c>
      <c r="D140" s="26" t="s">
        <v>472</v>
      </c>
    </row>
    <row r="141" spans="1:4" x14ac:dyDescent="0.3">
      <c r="A141" s="26" t="s">
        <v>473</v>
      </c>
      <c r="B141" s="26" t="s">
        <v>197</v>
      </c>
      <c r="C141" s="55">
        <f>Ore_por_UF!G9</f>
        <v>0</v>
      </c>
      <c r="D141" s="26" t="s">
        <v>472</v>
      </c>
    </row>
    <row r="142" spans="1:4" x14ac:dyDescent="0.3">
      <c r="A142" s="26" t="s">
        <v>473</v>
      </c>
      <c r="B142" s="26" t="s">
        <v>237</v>
      </c>
      <c r="C142" s="55">
        <f>Ore_por_UF!G10</f>
        <v>0</v>
      </c>
      <c r="D142" s="26" t="s">
        <v>472</v>
      </c>
    </row>
    <row r="143" spans="1:4" x14ac:dyDescent="0.3">
      <c r="A143" s="26" t="s">
        <v>473</v>
      </c>
      <c r="B143" s="26" t="s">
        <v>262</v>
      </c>
      <c r="C143" s="55">
        <f>Ore_por_UF!G11</f>
        <v>0</v>
      </c>
      <c r="D143" s="26" t="s">
        <v>472</v>
      </c>
    </row>
    <row r="144" spans="1:4" x14ac:dyDescent="0.3">
      <c r="A144" s="26" t="s">
        <v>473</v>
      </c>
      <c r="B144" s="26" t="s">
        <v>223</v>
      </c>
      <c r="C144" s="55">
        <f>Ore_por_UF!G12</f>
        <v>0</v>
      </c>
      <c r="D144" s="26" t="s">
        <v>472</v>
      </c>
    </row>
    <row r="145" spans="1:4" x14ac:dyDescent="0.3">
      <c r="A145" s="26" t="s">
        <v>473</v>
      </c>
      <c r="B145" s="26" t="s">
        <v>193</v>
      </c>
      <c r="C145" s="55">
        <f>Ore_por_UF!G13</f>
        <v>0</v>
      </c>
      <c r="D145" s="26" t="s">
        <v>472</v>
      </c>
    </row>
    <row r="146" spans="1:4" x14ac:dyDescent="0.3">
      <c r="A146" s="26" t="s">
        <v>473</v>
      </c>
      <c r="B146" s="26" t="s">
        <v>246</v>
      </c>
      <c r="C146" s="55">
        <f>Ore_por_UF!G14</f>
        <v>0</v>
      </c>
      <c r="D146" s="26" t="s">
        <v>472</v>
      </c>
    </row>
    <row r="147" spans="1:4" x14ac:dyDescent="0.3">
      <c r="A147" s="26" t="s">
        <v>473</v>
      </c>
      <c r="B147" s="26" t="s">
        <v>158</v>
      </c>
      <c r="C147" s="55">
        <f>Ore_por_UF!G15</f>
        <v>0</v>
      </c>
      <c r="D147" s="26" t="s">
        <v>472</v>
      </c>
    </row>
    <row r="148" spans="1:4" x14ac:dyDescent="0.3">
      <c r="A148" s="26" t="s">
        <v>473</v>
      </c>
      <c r="B148" s="26" t="s">
        <v>233</v>
      </c>
      <c r="C148" s="55">
        <f>Ore_por_UF!G16</f>
        <v>0</v>
      </c>
      <c r="D148" s="26" t="s">
        <v>472</v>
      </c>
    </row>
    <row r="149" spans="1:4" x14ac:dyDescent="0.3">
      <c r="A149" s="26" t="s">
        <v>473</v>
      </c>
      <c r="B149" s="26" t="s">
        <v>235</v>
      </c>
      <c r="C149" s="55">
        <f>Ore_por_UF!G17</f>
        <v>0</v>
      </c>
      <c r="D149" s="26" t="s">
        <v>472</v>
      </c>
    </row>
    <row r="150" spans="1:4" x14ac:dyDescent="0.3">
      <c r="A150" s="26" t="s">
        <v>473</v>
      </c>
      <c r="B150" s="26" t="s">
        <v>248</v>
      </c>
      <c r="C150" s="55">
        <f>Ore_por_UF!G18</f>
        <v>0</v>
      </c>
      <c r="D150" s="26" t="s">
        <v>472</v>
      </c>
    </row>
    <row r="151" spans="1:4" x14ac:dyDescent="0.3">
      <c r="A151" s="26" t="s">
        <v>473</v>
      </c>
      <c r="B151" s="26" t="s">
        <v>241</v>
      </c>
      <c r="C151" s="55">
        <f>Ore_por_UF!G19</f>
        <v>0</v>
      </c>
      <c r="D151" s="26" t="s">
        <v>472</v>
      </c>
    </row>
    <row r="152" spans="1:4" x14ac:dyDescent="0.3">
      <c r="A152" s="26" t="s">
        <v>473</v>
      </c>
      <c r="B152" s="26" t="s">
        <v>264</v>
      </c>
      <c r="C152" s="55">
        <f>Ore_por_UF!G20</f>
        <v>0</v>
      </c>
      <c r="D152" s="26" t="s">
        <v>472</v>
      </c>
    </row>
    <row r="153" spans="1:4" x14ac:dyDescent="0.3">
      <c r="A153" s="26" t="s">
        <v>473</v>
      </c>
      <c r="B153" s="26" t="s">
        <v>250</v>
      </c>
      <c r="C153" s="55">
        <f>Ore_por_UF!G21</f>
        <v>0</v>
      </c>
      <c r="D153" s="26" t="s">
        <v>472</v>
      </c>
    </row>
    <row r="154" spans="1:4" x14ac:dyDescent="0.3">
      <c r="A154" s="26" t="s">
        <v>473</v>
      </c>
      <c r="B154" s="26" t="s">
        <v>141</v>
      </c>
      <c r="C154" s="55">
        <f>Ore_por_UF!G22</f>
        <v>0</v>
      </c>
      <c r="D154" s="26" t="s">
        <v>472</v>
      </c>
    </row>
    <row r="155" spans="1:4" x14ac:dyDescent="0.3">
      <c r="A155" s="26" t="s">
        <v>473</v>
      </c>
      <c r="B155" s="26" t="s">
        <v>239</v>
      </c>
      <c r="C155" s="55">
        <f>Ore_por_UF!G23</f>
        <v>0</v>
      </c>
      <c r="D155" s="26" t="s">
        <v>472</v>
      </c>
    </row>
    <row r="156" spans="1:4" x14ac:dyDescent="0.3">
      <c r="A156" s="26" t="s">
        <v>473</v>
      </c>
      <c r="B156" s="26" t="s">
        <v>210</v>
      </c>
      <c r="C156" s="55">
        <f>Ore_por_UF!G24</f>
        <v>0</v>
      </c>
      <c r="D156" s="26" t="s">
        <v>472</v>
      </c>
    </row>
    <row r="157" spans="1:4" x14ac:dyDescent="0.3">
      <c r="A157" s="26" t="s">
        <v>473</v>
      </c>
      <c r="B157" s="26" t="s">
        <v>252</v>
      </c>
      <c r="C157" s="55">
        <f>Ore_por_UF!G25</f>
        <v>0</v>
      </c>
      <c r="D157" s="26" t="s">
        <v>472</v>
      </c>
    </row>
    <row r="158" spans="1:4" x14ac:dyDescent="0.3">
      <c r="A158" s="26" t="s">
        <v>473</v>
      </c>
      <c r="B158" s="26" t="s">
        <v>271</v>
      </c>
      <c r="C158" s="55">
        <f>Ore_por_UF!G26</f>
        <v>0</v>
      </c>
      <c r="D158" s="26" t="s">
        <v>472</v>
      </c>
    </row>
    <row r="159" spans="1:4" x14ac:dyDescent="0.3">
      <c r="A159" s="26" t="s">
        <v>473</v>
      </c>
      <c r="B159" s="26" t="s">
        <v>151</v>
      </c>
      <c r="C159" s="55">
        <f>Ore_por_UF!G27</f>
        <v>0</v>
      </c>
      <c r="D159" s="26" t="s">
        <v>472</v>
      </c>
    </row>
    <row r="160" spans="1:4" x14ac:dyDescent="0.3">
      <c r="A160" s="26" t="s">
        <v>473</v>
      </c>
      <c r="B160" s="26" t="s">
        <v>155</v>
      </c>
      <c r="C160" s="55">
        <f>Ore_por_UF!G28</f>
        <v>0</v>
      </c>
      <c r="D160" s="26" t="s">
        <v>472</v>
      </c>
    </row>
    <row r="161" spans="1:4" x14ac:dyDescent="0.3">
      <c r="A161" s="26" t="s">
        <v>473</v>
      </c>
      <c r="B161" s="26" t="s">
        <v>254</v>
      </c>
      <c r="C161" s="55">
        <f>Ore_por_UF!G29</f>
        <v>0</v>
      </c>
      <c r="D161" s="26" t="s">
        <v>472</v>
      </c>
    </row>
    <row r="162" spans="1:4" x14ac:dyDescent="0.3">
      <c r="A162" s="26" t="s">
        <v>473</v>
      </c>
      <c r="B162" s="26" t="s">
        <v>212</v>
      </c>
      <c r="C162" s="55">
        <f>Ore_por_UF!G30</f>
        <v>0</v>
      </c>
      <c r="D162" s="26" t="s">
        <v>472</v>
      </c>
    </row>
    <row r="163" spans="1:4" x14ac:dyDescent="0.3">
      <c r="A163" s="26" t="s">
        <v>473</v>
      </c>
      <c r="B163" s="26" t="s">
        <v>257</v>
      </c>
      <c r="C163" s="55">
        <f>Ore_por_UF!G31</f>
        <v>0</v>
      </c>
      <c r="D163" s="26" t="s">
        <v>472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6"/>
  <sheetViews>
    <sheetView zoomScaleNormal="100" workbookViewId="0">
      <pane ySplit="1" topLeftCell="A113" activePane="bottomLeft" state="frozen"/>
      <selection pane="bottomLeft" activeCell="G118" sqref="G118"/>
    </sheetView>
  </sheetViews>
  <sheetFormatPr defaultColWidth="8.6640625" defaultRowHeight="14.4" x14ac:dyDescent="0.3"/>
  <cols>
    <col min="1" max="1" width="14" customWidth="1"/>
    <col min="2" max="2" width="8" customWidth="1"/>
    <col min="3" max="3" width="18" customWidth="1"/>
    <col min="4" max="4" width="95" customWidth="1"/>
  </cols>
  <sheetData>
    <row r="1" spans="1:6" ht="14.25" customHeight="1" x14ac:dyDescent="0.3">
      <c r="A1" s="9" t="s">
        <v>474</v>
      </c>
      <c r="B1" s="9" t="s">
        <v>462</v>
      </c>
      <c r="C1" s="9" t="s">
        <v>475</v>
      </c>
      <c r="D1" s="9" t="s">
        <v>464</v>
      </c>
      <c r="F1" s="59" t="s">
        <v>476</v>
      </c>
    </row>
    <row r="2" spans="1:6" ht="14.25" customHeight="1" x14ac:dyDescent="0.3">
      <c r="A2" s="12" t="s">
        <v>477</v>
      </c>
      <c r="B2" s="12" t="s">
        <v>221</v>
      </c>
      <c r="C2" s="60">
        <f>EE_por_UF!J5</f>
        <v>24.432975786579298</v>
      </c>
      <c r="D2" s="61" t="str">
        <f>IF(EE_por_UF!K5="","ANEEL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3" spans="1:6" ht="14.25" customHeight="1" x14ac:dyDescent="0.3">
      <c r="A3" s="12" t="s">
        <v>477</v>
      </c>
      <c r="B3" s="12" t="s">
        <v>243</v>
      </c>
      <c r="C3" s="60">
        <f>EE_por_UF!J6</f>
        <v>30.929157247701209</v>
      </c>
      <c r="D3" s="61" t="str">
        <f>IF(EE_por_UF!K6="","ANEEL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4" spans="1:6" ht="14.25" customHeight="1" x14ac:dyDescent="0.3">
      <c r="A4" s="12" t="s">
        <v>477</v>
      </c>
      <c r="B4" s="12" t="s">
        <v>273</v>
      </c>
      <c r="C4" s="60">
        <f>EE_por_UF!J7</f>
        <v>36.820220463669912</v>
      </c>
      <c r="D4" s="61" t="str">
        <f>IF(EE_por_UF!K7="","ANEEL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5" spans="1:6" ht="14.25" customHeight="1" x14ac:dyDescent="0.3">
      <c r="A5" s="12" t="s">
        <v>477</v>
      </c>
      <c r="B5" s="12" t="s">
        <v>144</v>
      </c>
      <c r="C5" s="60">
        <f>EE_por_UF!J8</f>
        <v>29.359478348679328</v>
      </c>
      <c r="D5" s="61" t="str">
        <f>IF(EE_por_UF!K8="","ANEEL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6" spans="1:6" ht="14.25" customHeight="1" x14ac:dyDescent="0.3">
      <c r="A6" s="12" t="s">
        <v>477</v>
      </c>
      <c r="B6" s="12" t="s">
        <v>197</v>
      </c>
      <c r="C6" s="60">
        <f>EE_por_UF!J9</f>
        <v>28.221570261697355</v>
      </c>
      <c r="D6" s="61" t="str">
        <f>IF(EE_por_UF!K9="","ANEEL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7" spans="1:6" ht="14.25" customHeight="1" x14ac:dyDescent="0.3">
      <c r="A7" s="12" t="s">
        <v>477</v>
      </c>
      <c r="B7" s="12" t="s">
        <v>237</v>
      </c>
      <c r="C7" s="60">
        <f>EE_por_UF!J10</f>
        <v>25.120380752519686</v>
      </c>
      <c r="D7" s="61" t="str">
        <f>IF(EE_por_UF!K10="","ANEEL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8" spans="1:6" ht="14.25" customHeight="1" x14ac:dyDescent="0.3">
      <c r="A8" s="12" t="s">
        <v>477</v>
      </c>
      <c r="B8" s="12" t="s">
        <v>262</v>
      </c>
      <c r="C8" s="60">
        <f>EE_por_UF!J11</f>
        <v>34.21652014442958</v>
      </c>
      <c r="D8" s="61" t="str">
        <f>IF(EE_por_UF!K11="","ANEEL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9" spans="1:6" ht="14.25" customHeight="1" x14ac:dyDescent="0.3">
      <c r="A9" s="12" t="s">
        <v>477</v>
      </c>
      <c r="B9" s="12" t="s">
        <v>223</v>
      </c>
      <c r="C9" s="60">
        <f>EE_por_UF!J12</f>
        <v>29.508836817228747</v>
      </c>
      <c r="D9" s="61" t="str">
        <f>IF(EE_por_UF!K12="","ANEEL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0" spans="1:6" ht="14.25" customHeight="1" x14ac:dyDescent="0.3">
      <c r="A10" s="12" t="s">
        <v>477</v>
      </c>
      <c r="B10" s="12" t="s">
        <v>193</v>
      </c>
      <c r="C10" s="60">
        <f>EE_por_UF!J13</f>
        <v>26.458341141941396</v>
      </c>
      <c r="D10" s="61" t="str">
        <f>IF(EE_por_UF!K13="","ANEEL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1" spans="1:6" ht="14.25" customHeight="1" x14ac:dyDescent="0.3">
      <c r="A11" s="12" t="s">
        <v>477</v>
      </c>
      <c r="B11" s="12" t="s">
        <v>246</v>
      </c>
      <c r="C11" s="60">
        <f>EE_por_UF!J14</f>
        <v>24.021002464036624</v>
      </c>
      <c r="D11" s="61" t="str">
        <f>IF(EE_por_UF!K14="","ANEEL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2" spans="1:6" ht="14.25" customHeight="1" x14ac:dyDescent="0.3">
      <c r="A12" s="12" t="s">
        <v>477</v>
      </c>
      <c r="B12" s="12" t="s">
        <v>158</v>
      </c>
      <c r="C12" s="60">
        <f>EE_por_UF!J15</f>
        <v>30.406573179224697</v>
      </c>
      <c r="D12" s="61" t="str">
        <f>IF(EE_por_UF!K15="","ANEEL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3" spans="1:6" ht="14.25" customHeight="1" x14ac:dyDescent="0.3">
      <c r="A13" s="12" t="s">
        <v>477</v>
      </c>
      <c r="B13" s="12" t="s">
        <v>233</v>
      </c>
      <c r="C13" s="60">
        <f>EE_por_UF!J16</f>
        <v>31.73135017792416</v>
      </c>
      <c r="D13" s="61" t="str">
        <f>IF(EE_por_UF!K16="","ANEEL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4" spans="1:6" ht="14.25" customHeight="1" x14ac:dyDescent="0.3">
      <c r="A14" s="12" t="s">
        <v>477</v>
      </c>
      <c r="B14" s="12" t="s">
        <v>235</v>
      </c>
      <c r="C14" s="60">
        <f>EE_por_UF!J17</f>
        <v>33.060459182195423</v>
      </c>
      <c r="D14" s="61" t="str">
        <f>IF(EE_por_UF!K17="","ANEEL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5" spans="1:6" ht="14.25" customHeight="1" x14ac:dyDescent="0.3">
      <c r="A15" s="12" t="s">
        <v>477</v>
      </c>
      <c r="B15" s="12" t="s">
        <v>248</v>
      </c>
      <c r="C15" s="60">
        <f>EE_por_UF!J18</f>
        <v>31.436797220793125</v>
      </c>
      <c r="D15" s="61" t="str">
        <f>IF(EE_por_UF!K18="","ANEEL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6" spans="1:6" ht="14.25" customHeight="1" x14ac:dyDescent="0.3">
      <c r="A16" s="12" t="s">
        <v>477</v>
      </c>
      <c r="B16" s="12" t="s">
        <v>241</v>
      </c>
      <c r="C16" s="60">
        <f>EE_por_UF!J19</f>
        <v>21.688882437683297</v>
      </c>
      <c r="D16" s="61" t="str">
        <f>IF(EE_por_UF!K19="","ANEEL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7" spans="1:4" ht="14.25" customHeight="1" x14ac:dyDescent="0.3">
      <c r="A17" s="12" t="s">
        <v>477</v>
      </c>
      <c r="B17" s="12" t="s">
        <v>264</v>
      </c>
      <c r="C17" s="60">
        <f>EE_por_UF!J20</f>
        <v>29.38125344861859</v>
      </c>
      <c r="D17" s="61" t="str">
        <f>IF(EE_por_UF!K20="","ANEEL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8" spans="1:4" ht="14.25" customHeight="1" x14ac:dyDescent="0.3">
      <c r="A18" s="12" t="s">
        <v>477</v>
      </c>
      <c r="B18" s="12" t="s">
        <v>250</v>
      </c>
      <c r="C18" s="60">
        <f>EE_por_UF!J21</f>
        <v>25.563636369176116</v>
      </c>
      <c r="D18" s="61" t="str">
        <f>IF(EE_por_UF!K21="","ANEEL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19" spans="1:4" ht="14.25" customHeight="1" x14ac:dyDescent="0.3">
      <c r="A19" s="12" t="s">
        <v>477</v>
      </c>
      <c r="B19" s="12" t="s">
        <v>141</v>
      </c>
      <c r="C19" s="60">
        <f>EE_por_UF!J22</f>
        <v>27.106759076072652</v>
      </c>
      <c r="D19" s="61" t="str">
        <f>IF(EE_por_UF!K22="","ANEEL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0" spans="1:4" ht="14.25" customHeight="1" x14ac:dyDescent="0.3">
      <c r="A20" s="12" t="s">
        <v>477</v>
      </c>
      <c r="B20" s="12" t="s">
        <v>239</v>
      </c>
      <c r="C20" s="60">
        <f>EE_por_UF!J23</f>
        <v>34.266349919380623</v>
      </c>
      <c r="D20" s="61" t="str">
        <f>IF(EE_por_UF!K23="","ANEEL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1" spans="1:4" ht="14.25" customHeight="1" x14ac:dyDescent="0.3">
      <c r="A21" s="12" t="s">
        <v>477</v>
      </c>
      <c r="B21" s="12" t="s">
        <v>210</v>
      </c>
      <c r="C21" s="60">
        <f>EE_por_UF!J24</f>
        <v>29.207317416722859</v>
      </c>
      <c r="D21" s="61" t="str">
        <f>IF(EE_por_UF!K24="","ANEEL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2" spans="1:4" ht="14.25" customHeight="1" x14ac:dyDescent="0.3">
      <c r="A22" s="12" t="s">
        <v>477</v>
      </c>
      <c r="B22" s="12" t="s">
        <v>252</v>
      </c>
      <c r="C22" s="60">
        <f>EE_por_UF!J25</f>
        <v>24.966137321410816</v>
      </c>
      <c r="D22" s="61" t="str">
        <f>IF(EE_por_UF!K25="","ANEEL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3" spans="1:4" ht="14.25" customHeight="1" x14ac:dyDescent="0.3">
      <c r="A23" s="12" t="s">
        <v>477</v>
      </c>
      <c r="B23" s="12" t="s">
        <v>271</v>
      </c>
      <c r="C23" s="60">
        <f>EE_por_UF!J26</f>
        <v>28.524189466156596</v>
      </c>
      <c r="D23" s="61" t="str">
        <f>IF(EE_por_UF!K26="","ANEEL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4" spans="1:4" ht="14.25" customHeight="1" x14ac:dyDescent="0.3">
      <c r="A24" s="12" t="s">
        <v>477</v>
      </c>
      <c r="B24" s="12" t="s">
        <v>151</v>
      </c>
      <c r="C24" s="60">
        <f>EE_por_UF!J27</f>
        <v>27.704007612937467</v>
      </c>
      <c r="D24" s="61" t="str">
        <f>IF(EE_por_UF!K27="","ANEEL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5" spans="1:4" ht="14.25" customHeight="1" x14ac:dyDescent="0.3">
      <c r="A25" s="12" t="s">
        <v>477</v>
      </c>
      <c r="B25" s="12" t="s">
        <v>155</v>
      </c>
      <c r="C25" s="60">
        <f>EE_por_UF!J28</f>
        <v>28.119116395084177</v>
      </c>
      <c r="D25" s="61" t="str">
        <f>IF(EE_por_UF!K28="","ANEEL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6" spans="1:4" ht="14.25" customHeight="1" x14ac:dyDescent="0.3">
      <c r="A26" s="12" t="s">
        <v>477</v>
      </c>
      <c r="B26" s="12" t="s">
        <v>254</v>
      </c>
      <c r="C26" s="60">
        <f>EE_por_UF!J29</f>
        <v>24.198989440493847</v>
      </c>
      <c r="D26" s="61" t="str">
        <f>IF(EE_por_UF!K29="","ANEEL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7" spans="1:4" ht="14.25" customHeight="1" x14ac:dyDescent="0.3">
      <c r="A27" s="12" t="s">
        <v>477</v>
      </c>
      <c r="B27" s="12" t="s">
        <v>212</v>
      </c>
      <c r="C27" s="60">
        <f>EE_por_UF!J30</f>
        <v>27.398678410070218</v>
      </c>
      <c r="D27" s="61" t="str">
        <f>IF(EE_por_UF!K30="","ANEEL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8" spans="1:4" ht="14.25" customHeight="1" x14ac:dyDescent="0.3">
      <c r="A28" s="12" t="s">
        <v>477</v>
      </c>
      <c r="B28" s="12" t="s">
        <v>257</v>
      </c>
      <c r="C28" s="60">
        <f>EE_por_UF!J31</f>
        <v>26.474068338474254</v>
      </c>
      <c r="D28" s="61" t="str">
        <f>IF(EE_por_UF!K31="","ANEEL A4 verde fora ponta TUSD+TE + demanda, tributos: "&amp;Premissas!$C$19&amp;", ano-base "&amp;Premissas!$C$6,"Sem distribuidora atribuida a esta UF — media nacional. VERIFICAR mapeamento em EE_ANEEL.")</f>
        <v>ANEEL A4 verde fora ponta TUSD+TE + demanda, tributos: COM, ano-base 2024</v>
      </c>
    </row>
    <row r="29" spans="1:4" ht="14.25" customHeight="1" x14ac:dyDescent="0.3">
      <c r="A29" s="12" t="s">
        <v>478</v>
      </c>
      <c r="B29" s="12" t="s">
        <v>221</v>
      </c>
      <c r="C29" s="60">
        <f>GN_por_UF!F5</f>
        <v>19.125598721917218</v>
      </c>
      <c r="D29" s="61" t="str">
        <f>IF(GN_por_UF!G5="","Boletim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0" spans="1:4" ht="14.25" customHeight="1" x14ac:dyDescent="0.3">
      <c r="A30" s="12" t="s">
        <v>478</v>
      </c>
      <c r="B30" s="12" t="s">
        <v>243</v>
      </c>
      <c r="C30" s="60">
        <f>GN_por_UF!F6</f>
        <v>18.030099033788304</v>
      </c>
      <c r="D30" s="61" t="str">
        <f>IF(GN_por_UF!G6="","Boletim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1" spans="1:4" ht="14.25" customHeight="1" x14ac:dyDescent="0.3">
      <c r="A31" s="12" t="s">
        <v>478</v>
      </c>
      <c r="B31" s="12" t="s">
        <v>273</v>
      </c>
      <c r="C31" s="60">
        <f>GN_por_UF!F7</f>
        <v>16.090151669393361</v>
      </c>
      <c r="D31" s="61" t="str">
        <f>IF(GN_por_UF!G7="","Boletim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2" spans="1:4" ht="14.25" customHeight="1" x14ac:dyDescent="0.3">
      <c r="A32" s="12" t="s">
        <v>478</v>
      </c>
      <c r="B32" s="12" t="s">
        <v>144</v>
      </c>
      <c r="C32" s="60">
        <f>GN_por_UF!F8</f>
        <v>19.125598721917218</v>
      </c>
      <c r="D32" s="61" t="str">
        <f>IF(GN_por_UF!G8="","Boletim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3" spans="1:4" ht="14.25" customHeight="1" x14ac:dyDescent="0.3">
      <c r="A33" s="12" t="s">
        <v>478</v>
      </c>
      <c r="B33" s="12" t="s">
        <v>197</v>
      </c>
      <c r="C33" s="60">
        <f>GN_por_UF!F9</f>
        <v>15.177235262619272</v>
      </c>
      <c r="D33" s="61" t="str">
        <f>IF(GN_por_UF!G9="","Boletim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4" spans="1:4" ht="14.25" customHeight="1" x14ac:dyDescent="0.3">
      <c r="A34" s="12" t="s">
        <v>478</v>
      </c>
      <c r="B34" s="12" t="s">
        <v>237</v>
      </c>
      <c r="C34" s="60">
        <f>GN_por_UF!F10</f>
        <v>21.339421008344388</v>
      </c>
      <c r="D34" s="61" t="str">
        <f>IF(GN_por_UF!G10="","Boletim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5" spans="1:4" ht="14.25" customHeight="1" x14ac:dyDescent="0.3">
      <c r="A35" s="12" t="s">
        <v>478</v>
      </c>
      <c r="B35" s="12" t="s">
        <v>262</v>
      </c>
      <c r="C35" s="60">
        <f>GN_por_UF!F11</f>
        <v>19.125598721917218</v>
      </c>
      <c r="D35" s="61" t="str">
        <f>IF(GN_por_UF!G11="","Boletim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6" spans="1:4" ht="14.25" customHeight="1" x14ac:dyDescent="0.3">
      <c r="A36" s="12" t="s">
        <v>478</v>
      </c>
      <c r="B36" s="12" t="s">
        <v>223</v>
      </c>
      <c r="C36" s="60">
        <f>GN_por_UF!F12</f>
        <v>18.943015440562398</v>
      </c>
      <c r="D36" s="61" t="str">
        <f>IF(GN_por_UF!G12="","Boletim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7" spans="1:4" ht="14.25" customHeight="1" x14ac:dyDescent="0.3">
      <c r="A37" s="12" t="s">
        <v>478</v>
      </c>
      <c r="B37" s="12" t="s">
        <v>193</v>
      </c>
      <c r="C37" s="60">
        <f>GN_por_UF!F13</f>
        <v>19.125598721917218</v>
      </c>
      <c r="D37" s="61" t="str">
        <f>IF(GN_por_UF!G13="","Boletim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8" spans="1:4" ht="14.25" customHeight="1" x14ac:dyDescent="0.3">
      <c r="A38" s="12" t="s">
        <v>478</v>
      </c>
      <c r="B38" s="12" t="s">
        <v>246</v>
      </c>
      <c r="C38" s="60">
        <f>GN_por_UF!F14</f>
        <v>19.125598721917218</v>
      </c>
      <c r="D38" s="61" t="str">
        <f>IF(GN_por_UF!G14="","Boletim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9" spans="1:4" ht="14.25" customHeight="1" x14ac:dyDescent="0.3">
      <c r="A39" s="12" t="s">
        <v>478</v>
      </c>
      <c r="B39" s="12" t="s">
        <v>158</v>
      </c>
      <c r="C39" s="60">
        <f>GN_por_UF!F15</f>
        <v>17.687755381248021</v>
      </c>
      <c r="D39" s="61" t="str">
        <f>IF(GN_por_UF!G15="","Boletim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0" spans="1:4" ht="14.25" customHeight="1" x14ac:dyDescent="0.3">
      <c r="A40" s="12" t="s">
        <v>478</v>
      </c>
      <c r="B40" s="12" t="s">
        <v>233</v>
      </c>
      <c r="C40" s="60">
        <f>GN_por_UF!F16</f>
        <v>19.057129991409159</v>
      </c>
      <c r="D40" s="61" t="str">
        <f>IF(GN_por_UF!G16="","Boletim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1" spans="1:4" ht="14.25" customHeight="1" x14ac:dyDescent="0.3">
      <c r="A41" s="12" t="s">
        <v>478</v>
      </c>
      <c r="B41" s="12" t="s">
        <v>235</v>
      </c>
      <c r="C41" s="60">
        <f>GN_por_UF!F17</f>
        <v>19.125598721917218</v>
      </c>
      <c r="D41" s="61" t="str">
        <f>IF(GN_por_UF!G17="","Boletim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2" spans="1:4" ht="14.25" customHeight="1" x14ac:dyDescent="0.3">
      <c r="A42" s="12" t="s">
        <v>478</v>
      </c>
      <c r="B42" s="12" t="s">
        <v>248</v>
      </c>
      <c r="C42" s="60">
        <f>GN_por_UF!F18</f>
        <v>19.125598721917218</v>
      </c>
      <c r="D42" s="61" t="str">
        <f>IF(GN_por_UF!G18="","Boletim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3" spans="1:4" ht="14.25" customHeight="1" x14ac:dyDescent="0.3">
      <c r="A43" s="12" t="s">
        <v>478</v>
      </c>
      <c r="B43" s="12" t="s">
        <v>241</v>
      </c>
      <c r="C43" s="60">
        <f>GN_por_UF!F19</f>
        <v>20.084160949030018</v>
      </c>
      <c r="D43" s="61" t="str">
        <f>IF(GN_por_UF!G19="","Boletim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4" spans="1:4" ht="14.25" customHeight="1" x14ac:dyDescent="0.3">
      <c r="A44" s="12" t="s">
        <v>478</v>
      </c>
      <c r="B44" s="12" t="s">
        <v>264</v>
      </c>
      <c r="C44" s="60">
        <f>GN_por_UF!F20</f>
        <v>18.828900889715641</v>
      </c>
      <c r="D44" s="61" t="str">
        <f>IF(GN_por_UF!G20="","Boletim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5" spans="1:4" ht="14.25" customHeight="1" x14ac:dyDescent="0.3">
      <c r="A45" s="12" t="s">
        <v>478</v>
      </c>
      <c r="B45" s="12" t="s">
        <v>250</v>
      </c>
      <c r="C45" s="60">
        <f>GN_por_UF!F21</f>
        <v>19.125598721917218</v>
      </c>
      <c r="D45" s="61" t="str">
        <f>IF(GN_por_UF!G21="","Boletim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6" spans="1:4" ht="14.25" customHeight="1" x14ac:dyDescent="0.3">
      <c r="A46" s="12" t="s">
        <v>478</v>
      </c>
      <c r="B46" s="12" t="s">
        <v>141</v>
      </c>
      <c r="C46" s="60">
        <f>GN_por_UF!F22</f>
        <v>19.285359093102681</v>
      </c>
      <c r="D46" s="61" t="str">
        <f>IF(GN_por_UF!G22="","Boletim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7" spans="1:4" ht="14.25" customHeight="1" x14ac:dyDescent="0.3">
      <c r="A47" s="12" t="s">
        <v>478</v>
      </c>
      <c r="B47" s="12" t="s">
        <v>239</v>
      </c>
      <c r="C47" s="60">
        <f>GN_por_UF!F23</f>
        <v>20.654733703263819</v>
      </c>
      <c r="D47" s="61" t="str">
        <f>IF(GN_por_UF!G23="","Boletim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8" spans="1:4" ht="14.25" customHeight="1" x14ac:dyDescent="0.3">
      <c r="A48" s="12" t="s">
        <v>478</v>
      </c>
      <c r="B48" s="12" t="s">
        <v>210</v>
      </c>
      <c r="C48" s="60">
        <f>GN_por_UF!F24</f>
        <v>20.198275499876775</v>
      </c>
      <c r="D48" s="61" t="str">
        <f>IF(GN_por_UF!G24="","Boletim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9" spans="1:4" ht="14.25" customHeight="1" x14ac:dyDescent="0.3">
      <c r="A49" s="12" t="s">
        <v>478</v>
      </c>
      <c r="B49" s="12" t="s">
        <v>252</v>
      </c>
      <c r="C49" s="60">
        <f>GN_por_UF!F25</f>
        <v>19.125598721917218</v>
      </c>
      <c r="D49" s="61" t="str">
        <f>IF(GN_por_UF!G25="","Boletim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0" spans="1:4" ht="14.25" customHeight="1" x14ac:dyDescent="0.3">
      <c r="A50" s="12" t="s">
        <v>478</v>
      </c>
      <c r="B50" s="12" t="s">
        <v>271</v>
      </c>
      <c r="C50" s="60">
        <f>GN_por_UF!F26</f>
        <v>19.125598721917218</v>
      </c>
      <c r="D50" s="61" t="str">
        <f>IF(GN_por_UF!G26="","Boletim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1" spans="1:4" ht="14.25" customHeight="1" x14ac:dyDescent="0.3">
      <c r="A51" s="12" t="s">
        <v>478</v>
      </c>
      <c r="B51" s="12" t="s">
        <v>151</v>
      </c>
      <c r="C51" s="60">
        <f>GN_por_UF!F27</f>
        <v>20.654733703263819</v>
      </c>
      <c r="D51" s="61" t="str">
        <f>IF(GN_por_UF!G27="","Boletim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2" spans="1:4" ht="14.25" customHeight="1" x14ac:dyDescent="0.3">
      <c r="A52" s="12" t="s">
        <v>478</v>
      </c>
      <c r="B52" s="12" t="s">
        <v>155</v>
      </c>
      <c r="C52" s="60">
        <f>GN_por_UF!F28</f>
        <v>19.171244542255923</v>
      </c>
      <c r="D52" s="61" t="str">
        <f>IF(GN_por_UF!G28="","Boletim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3" spans="1:4" ht="14.25" customHeight="1" x14ac:dyDescent="0.3">
      <c r="A53" s="12" t="s">
        <v>478</v>
      </c>
      <c r="B53" s="12" t="s">
        <v>254</v>
      </c>
      <c r="C53" s="60">
        <f>GN_por_UF!F29</f>
        <v>19.855931847336493</v>
      </c>
      <c r="D53" s="61" t="str">
        <f>IF(GN_por_UF!G29="","Boletim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4" spans="1:4" ht="14.25" customHeight="1" x14ac:dyDescent="0.3">
      <c r="A54" s="12" t="s">
        <v>478</v>
      </c>
      <c r="B54" s="12" t="s">
        <v>212</v>
      </c>
      <c r="C54" s="60">
        <f>GN_por_UF!F30</f>
        <v>19.323397276718271</v>
      </c>
      <c r="D54" s="61" t="str">
        <f>IF(GN_por_UF!G30="","Boletim do Gas MME, industrial, metodo da razao (estrutura dez + nivel media anual), base PCI, ano-base "&amp;Premissas!$C$6,"UF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5" spans="1:4" ht="14.25" customHeight="1" x14ac:dyDescent="0.3">
      <c r="A55" s="12" t="s">
        <v>478</v>
      </c>
      <c r="B55" s="12" t="s">
        <v>257</v>
      </c>
      <c r="C55" s="60">
        <f>GN_por_UF!F31</f>
        <v>19.125598721917218</v>
      </c>
      <c r="D55" s="61" t="str">
        <f>IF(GN_por_UF!G31="","Boletim do Gas MME, industrial, metodo da razao (estrutura dez + nivel media anual), base PCI, ano-base "&amp;Premissas!$C$6,"UF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6" spans="1:4" ht="14.25" customHeight="1" x14ac:dyDescent="0.3">
      <c r="A56" s="26" t="s">
        <v>479</v>
      </c>
      <c r="B56" s="26" t="s">
        <v>221</v>
      </c>
      <c r="C56" s="55">
        <f>CM_por_UF!D5</f>
        <v>6.3954263287481519</v>
      </c>
      <c r="D56" s="26" t="s">
        <v>480</v>
      </c>
    </row>
    <row r="57" spans="1:4" ht="14.25" customHeight="1" x14ac:dyDescent="0.3">
      <c r="A57" s="26" t="s">
        <v>479</v>
      </c>
      <c r="B57" s="26" t="s">
        <v>243</v>
      </c>
      <c r="C57" s="55">
        <f>CM_por_UF!D6</f>
        <v>6.3954263287481519</v>
      </c>
      <c r="D57" s="26" t="s">
        <v>480</v>
      </c>
    </row>
    <row r="58" spans="1:4" ht="14.25" customHeight="1" x14ac:dyDescent="0.3">
      <c r="A58" s="26" t="s">
        <v>479</v>
      </c>
      <c r="B58" s="26" t="s">
        <v>273</v>
      </c>
      <c r="C58" s="55">
        <f>CM_por_UF!D7</f>
        <v>6.3954263287481519</v>
      </c>
      <c r="D58" s="26" t="s">
        <v>480</v>
      </c>
    </row>
    <row r="59" spans="1:4" ht="14.25" customHeight="1" x14ac:dyDescent="0.3">
      <c r="A59" s="26" t="s">
        <v>479</v>
      </c>
      <c r="B59" s="26" t="s">
        <v>144</v>
      </c>
      <c r="C59" s="55">
        <f>CM_por_UF!D8</f>
        <v>6.3954263287481519</v>
      </c>
      <c r="D59" s="26" t="s">
        <v>480</v>
      </c>
    </row>
    <row r="60" spans="1:4" ht="14.25" customHeight="1" x14ac:dyDescent="0.3">
      <c r="A60" s="26" t="s">
        <v>479</v>
      </c>
      <c r="B60" s="26" t="s">
        <v>197</v>
      </c>
      <c r="C60" s="55">
        <f>CM_por_UF!D9</f>
        <v>6.3954263287481519</v>
      </c>
      <c r="D60" s="26" t="s">
        <v>480</v>
      </c>
    </row>
    <row r="61" spans="1:4" ht="14.25" customHeight="1" x14ac:dyDescent="0.3">
      <c r="A61" s="26" t="s">
        <v>479</v>
      </c>
      <c r="B61" s="26" t="s">
        <v>237</v>
      </c>
      <c r="C61" s="55">
        <f>CM_por_UF!D10</f>
        <v>6.3954263287481519</v>
      </c>
      <c r="D61" s="26" t="s">
        <v>480</v>
      </c>
    </row>
    <row r="62" spans="1:4" ht="14.25" customHeight="1" x14ac:dyDescent="0.3">
      <c r="A62" s="26" t="s">
        <v>479</v>
      </c>
      <c r="B62" s="26" t="s">
        <v>262</v>
      </c>
      <c r="C62" s="55">
        <f>CM_por_UF!D11</f>
        <v>6.3954263287481519</v>
      </c>
      <c r="D62" s="26" t="s">
        <v>480</v>
      </c>
    </row>
    <row r="63" spans="1:4" ht="14.25" customHeight="1" x14ac:dyDescent="0.3">
      <c r="A63" s="26" t="s">
        <v>479</v>
      </c>
      <c r="B63" s="26" t="s">
        <v>223</v>
      </c>
      <c r="C63" s="55">
        <f>CM_por_UF!D12</f>
        <v>6.3954263287481519</v>
      </c>
      <c r="D63" s="26" t="s">
        <v>480</v>
      </c>
    </row>
    <row r="64" spans="1:4" ht="14.25" customHeight="1" x14ac:dyDescent="0.3">
      <c r="A64" s="26" t="s">
        <v>479</v>
      </c>
      <c r="B64" s="26" t="s">
        <v>193</v>
      </c>
      <c r="C64" s="55">
        <f>CM_por_UF!D13</f>
        <v>6.3954263287481519</v>
      </c>
      <c r="D64" s="26" t="s">
        <v>480</v>
      </c>
    </row>
    <row r="65" spans="1:4" ht="14.25" customHeight="1" x14ac:dyDescent="0.3">
      <c r="A65" s="26" t="s">
        <v>479</v>
      </c>
      <c r="B65" s="26" t="s">
        <v>246</v>
      </c>
      <c r="C65" s="55">
        <f>CM_por_UF!D14</f>
        <v>6.3954263287481519</v>
      </c>
      <c r="D65" s="26" t="s">
        <v>480</v>
      </c>
    </row>
    <row r="66" spans="1:4" ht="14.25" customHeight="1" x14ac:dyDescent="0.3">
      <c r="A66" s="26" t="s">
        <v>479</v>
      </c>
      <c r="B66" s="26" t="s">
        <v>158</v>
      </c>
      <c r="C66" s="55">
        <f>CM_por_UF!D15</f>
        <v>7.0379102331182537</v>
      </c>
      <c r="D66" s="26" t="s">
        <v>480</v>
      </c>
    </row>
    <row r="67" spans="1:4" ht="14.25" customHeight="1" x14ac:dyDescent="0.3">
      <c r="A67" s="26" t="s">
        <v>479</v>
      </c>
      <c r="B67" s="26" t="s">
        <v>233</v>
      </c>
      <c r="C67" s="55">
        <f>CM_por_UF!D16</f>
        <v>6.3954263287481519</v>
      </c>
      <c r="D67" s="26" t="s">
        <v>480</v>
      </c>
    </row>
    <row r="68" spans="1:4" ht="14.25" customHeight="1" x14ac:dyDescent="0.3">
      <c r="A68" s="26" t="s">
        <v>479</v>
      </c>
      <c r="B68" s="26" t="s">
        <v>235</v>
      </c>
      <c r="C68" s="55">
        <f>CM_por_UF!D17</f>
        <v>6.3954263287481519</v>
      </c>
      <c r="D68" s="26" t="s">
        <v>480</v>
      </c>
    </row>
    <row r="69" spans="1:4" ht="14.25" customHeight="1" x14ac:dyDescent="0.3">
      <c r="A69" s="26" t="s">
        <v>479</v>
      </c>
      <c r="B69" s="26" t="s">
        <v>248</v>
      </c>
      <c r="C69" s="55">
        <f>CM_por_UF!D18</f>
        <v>6.3954263287481519</v>
      </c>
      <c r="D69" s="26" t="s">
        <v>480</v>
      </c>
    </row>
    <row r="70" spans="1:4" ht="14.25" customHeight="1" x14ac:dyDescent="0.3">
      <c r="A70" s="26" t="s">
        <v>479</v>
      </c>
      <c r="B70" s="26" t="s">
        <v>241</v>
      </c>
      <c r="C70" s="55">
        <f>CM_por_UF!D19</f>
        <v>6.3954263287481519</v>
      </c>
      <c r="D70" s="26" t="s">
        <v>480</v>
      </c>
    </row>
    <row r="71" spans="1:4" ht="14.25" customHeight="1" x14ac:dyDescent="0.3">
      <c r="A71" s="26" t="s">
        <v>479</v>
      </c>
      <c r="B71" s="26" t="s">
        <v>264</v>
      </c>
      <c r="C71" s="55">
        <f>CM_por_UF!D20</f>
        <v>6.3954263287481519</v>
      </c>
      <c r="D71" s="26" t="s">
        <v>480</v>
      </c>
    </row>
    <row r="72" spans="1:4" ht="14.25" customHeight="1" x14ac:dyDescent="0.3">
      <c r="A72" s="26" t="s">
        <v>479</v>
      </c>
      <c r="B72" s="26" t="s">
        <v>250</v>
      </c>
      <c r="C72" s="55">
        <f>CM_por_UF!D21</f>
        <v>6.3954263287481519</v>
      </c>
      <c r="D72" s="26" t="s">
        <v>480</v>
      </c>
    </row>
    <row r="73" spans="1:4" ht="14.25" customHeight="1" x14ac:dyDescent="0.3">
      <c r="A73" s="26" t="s">
        <v>479</v>
      </c>
      <c r="B73" s="26" t="s">
        <v>141</v>
      </c>
      <c r="C73" s="55">
        <f>CM_por_UF!D22</f>
        <v>6.3954263287481519</v>
      </c>
      <c r="D73" s="26" t="s">
        <v>480</v>
      </c>
    </row>
    <row r="74" spans="1:4" ht="14.25" customHeight="1" x14ac:dyDescent="0.3">
      <c r="A74" s="26" t="s">
        <v>479</v>
      </c>
      <c r="B74" s="26" t="s">
        <v>239</v>
      </c>
      <c r="C74" s="55">
        <f>CM_por_UF!D23</f>
        <v>6.4986066984327655</v>
      </c>
      <c r="D74" s="26" t="s">
        <v>480</v>
      </c>
    </row>
    <row r="75" spans="1:4" ht="14.25" customHeight="1" x14ac:dyDescent="0.3">
      <c r="A75" s="26" t="s">
        <v>479</v>
      </c>
      <c r="B75" s="26" t="s">
        <v>210</v>
      </c>
      <c r="C75" s="55">
        <f>CM_por_UF!D24</f>
        <v>6.3954263287481519</v>
      </c>
      <c r="D75" s="26" t="s">
        <v>480</v>
      </c>
    </row>
    <row r="76" spans="1:4" ht="14.25" customHeight="1" x14ac:dyDescent="0.3">
      <c r="A76" s="26" t="s">
        <v>479</v>
      </c>
      <c r="B76" s="26" t="s">
        <v>252</v>
      </c>
      <c r="C76" s="55">
        <f>CM_por_UF!D25</f>
        <v>6.3954263287481519</v>
      </c>
      <c r="D76" s="26" t="s">
        <v>480</v>
      </c>
    </row>
    <row r="77" spans="1:4" ht="14.25" customHeight="1" x14ac:dyDescent="0.3">
      <c r="A77" s="26" t="s">
        <v>479</v>
      </c>
      <c r="B77" s="26" t="s">
        <v>271</v>
      </c>
      <c r="C77" s="55">
        <f>CM_por_UF!D26</f>
        <v>6.3954263287481519</v>
      </c>
      <c r="D77" s="26" t="s">
        <v>480</v>
      </c>
    </row>
    <row r="78" spans="1:4" ht="14.25" customHeight="1" x14ac:dyDescent="0.3">
      <c r="A78" s="26" t="s">
        <v>479</v>
      </c>
      <c r="B78" s="26" t="s">
        <v>151</v>
      </c>
      <c r="C78" s="55">
        <f>CM_por_UF!D27</f>
        <v>6.3954263287481519</v>
      </c>
      <c r="D78" s="26" t="s">
        <v>480</v>
      </c>
    </row>
    <row r="79" spans="1:4" ht="14.25" customHeight="1" x14ac:dyDescent="0.3">
      <c r="A79" s="26" t="s">
        <v>479</v>
      </c>
      <c r="B79" s="26" t="s">
        <v>155</v>
      </c>
      <c r="C79" s="55">
        <f>CM_por_UF!D28</f>
        <v>6.3954263287481519</v>
      </c>
      <c r="D79" s="26" t="s">
        <v>480</v>
      </c>
    </row>
    <row r="80" spans="1:4" ht="14.25" customHeight="1" x14ac:dyDescent="0.3">
      <c r="A80" s="26" t="s">
        <v>479</v>
      </c>
      <c r="B80" s="26" t="s">
        <v>254</v>
      </c>
      <c r="C80" s="55">
        <f>CM_por_UF!D29</f>
        <v>6.3954263287481519</v>
      </c>
      <c r="D80" s="26" t="s">
        <v>480</v>
      </c>
    </row>
    <row r="81" spans="1:4" ht="14.25" customHeight="1" x14ac:dyDescent="0.3">
      <c r="A81" s="26" t="s">
        <v>479</v>
      </c>
      <c r="B81" s="26" t="s">
        <v>212</v>
      </c>
      <c r="C81" s="55">
        <f>CM_por_UF!D30</f>
        <v>6.3954263287481519</v>
      </c>
      <c r="D81" s="26" t="s">
        <v>480</v>
      </c>
    </row>
    <row r="82" spans="1:4" ht="14.25" customHeight="1" x14ac:dyDescent="0.3">
      <c r="A82" s="26" t="s">
        <v>479</v>
      </c>
      <c r="B82" s="26" t="s">
        <v>257</v>
      </c>
      <c r="C82" s="55">
        <f>CM_por_UF!D31</f>
        <v>6.3954263287481519</v>
      </c>
      <c r="D82" s="26" t="s">
        <v>480</v>
      </c>
    </row>
    <row r="83" spans="1:4" ht="14.25" customHeight="1" x14ac:dyDescent="0.3">
      <c r="A83" s="26" t="s">
        <v>481</v>
      </c>
      <c r="B83" s="26" t="s">
        <v>221</v>
      </c>
      <c r="C83" s="55">
        <f>Diesel_por_UF!D5</f>
        <v>26.590946592596666</v>
      </c>
      <c r="D83" s="26" t="s">
        <v>482</v>
      </c>
    </row>
    <row r="84" spans="1:4" ht="14.25" customHeight="1" x14ac:dyDescent="0.3">
      <c r="A84" s="26" t="s">
        <v>481</v>
      </c>
      <c r="B84" s="26" t="s">
        <v>243</v>
      </c>
      <c r="C84" s="55">
        <f>Diesel_por_UF!D6</f>
        <v>21.908035861613769</v>
      </c>
      <c r="D84" s="26" t="s">
        <v>482</v>
      </c>
    </row>
    <row r="85" spans="1:4" ht="14.25" customHeight="1" x14ac:dyDescent="0.3">
      <c r="A85" s="26" t="s">
        <v>481</v>
      </c>
      <c r="B85" s="26" t="s">
        <v>273</v>
      </c>
      <c r="C85" s="55">
        <f>Diesel_por_UF!D7</f>
        <v>22.811946537594185</v>
      </c>
      <c r="D85" s="26" t="s">
        <v>482</v>
      </c>
    </row>
    <row r="86" spans="1:4" ht="14.25" customHeight="1" x14ac:dyDescent="0.3">
      <c r="A86" s="26" t="s">
        <v>481</v>
      </c>
      <c r="B86" s="26" t="s">
        <v>144</v>
      </c>
      <c r="C86" s="55">
        <f>Diesel_por_UF!D8</f>
        <v>23.476266431989437</v>
      </c>
      <c r="D86" s="26" t="s">
        <v>482</v>
      </c>
    </row>
    <row r="87" spans="1:4" ht="14.25" customHeight="1" x14ac:dyDescent="0.3">
      <c r="A87" s="26" t="s">
        <v>481</v>
      </c>
      <c r="B87" s="26" t="s">
        <v>197</v>
      </c>
      <c r="C87" s="55">
        <f>Diesel_por_UF!D9</f>
        <v>21.566800506022766</v>
      </c>
      <c r="D87" s="26" t="s">
        <v>482</v>
      </c>
    </row>
    <row r="88" spans="1:4" ht="14.25" customHeight="1" x14ac:dyDescent="0.3">
      <c r="A88" s="26" t="s">
        <v>481</v>
      </c>
      <c r="B88" s="26" t="s">
        <v>237</v>
      </c>
      <c r="C88" s="55">
        <f>Diesel_por_UF!D10</f>
        <v>22.401738078213516</v>
      </c>
      <c r="D88" s="26" t="s">
        <v>482</v>
      </c>
    </row>
    <row r="89" spans="1:4" ht="14.25" customHeight="1" x14ac:dyDescent="0.3">
      <c r="A89" s="26" t="s">
        <v>481</v>
      </c>
      <c r="B89" s="26" t="s">
        <v>262</v>
      </c>
      <c r="C89" s="55">
        <f>Diesel_por_UF!D11</f>
        <v>21.156592046642096</v>
      </c>
      <c r="D89" s="26" t="s">
        <v>482</v>
      </c>
    </row>
    <row r="90" spans="1:4" ht="14.25" customHeight="1" x14ac:dyDescent="0.3">
      <c r="A90" s="26" t="s">
        <v>481</v>
      </c>
      <c r="B90" s="26" t="s">
        <v>223</v>
      </c>
      <c r="C90" s="55">
        <f>Diesel_por_UF!D12</f>
        <v>21.356251031296402</v>
      </c>
      <c r="D90" s="26" t="s">
        <v>482</v>
      </c>
    </row>
    <row r="91" spans="1:4" ht="14.25" customHeight="1" x14ac:dyDescent="0.3">
      <c r="A91" s="26" t="s">
        <v>481</v>
      </c>
      <c r="B91" s="26" t="s">
        <v>193</v>
      </c>
      <c r="C91" s="55">
        <f>Diesel_por_UF!D13</f>
        <v>21.138441229855342</v>
      </c>
      <c r="D91" s="26" t="s">
        <v>482</v>
      </c>
    </row>
    <row r="92" spans="1:4" ht="14.25" customHeight="1" x14ac:dyDescent="0.3">
      <c r="A92" s="26" t="s">
        <v>481</v>
      </c>
      <c r="B92" s="26" t="s">
        <v>246</v>
      </c>
      <c r="C92" s="55">
        <f>Diesel_por_UF!D14</f>
        <v>21.09850943292448</v>
      </c>
      <c r="D92" s="26" t="s">
        <v>482</v>
      </c>
    </row>
    <row r="93" spans="1:4" ht="14.25" customHeight="1" x14ac:dyDescent="0.3">
      <c r="A93" s="26" t="s">
        <v>481</v>
      </c>
      <c r="B93" s="26" t="s">
        <v>158</v>
      </c>
      <c r="C93" s="55">
        <f>Diesel_por_UF!D15</f>
        <v>20.982344205489245</v>
      </c>
      <c r="D93" s="26" t="s">
        <v>482</v>
      </c>
    </row>
    <row r="94" spans="1:4" ht="14.25" customHeight="1" x14ac:dyDescent="0.3">
      <c r="A94" s="26" t="s">
        <v>481</v>
      </c>
      <c r="B94" s="26" t="s">
        <v>233</v>
      </c>
      <c r="C94" s="55">
        <f>Diesel_por_UF!D16</f>
        <v>21.541389362521311</v>
      </c>
      <c r="D94" s="26" t="s">
        <v>482</v>
      </c>
    </row>
    <row r="95" spans="1:4" ht="14.25" customHeight="1" x14ac:dyDescent="0.3">
      <c r="A95" s="26" t="s">
        <v>481</v>
      </c>
      <c r="B95" s="26" t="s">
        <v>235</v>
      </c>
      <c r="C95" s="55">
        <f>Diesel_por_UF!D17</f>
        <v>21.900775534899068</v>
      </c>
      <c r="D95" s="26" t="s">
        <v>482</v>
      </c>
    </row>
    <row r="96" spans="1:4" ht="14.25" customHeight="1" x14ac:dyDescent="0.3">
      <c r="A96" s="26" t="s">
        <v>481</v>
      </c>
      <c r="B96" s="26" t="s">
        <v>248</v>
      </c>
      <c r="C96" s="55">
        <f>Diesel_por_UF!D18</f>
        <v>23.011605522248502</v>
      </c>
      <c r="D96" s="26" t="s">
        <v>482</v>
      </c>
    </row>
    <row r="97" spans="1:4" ht="14.25" customHeight="1" x14ac:dyDescent="0.3">
      <c r="A97" s="26" t="s">
        <v>481</v>
      </c>
      <c r="B97" s="26" t="s">
        <v>241</v>
      </c>
      <c r="C97" s="55">
        <f>Diesel_por_UF!D19</f>
        <v>21.007755348990699</v>
      </c>
      <c r="D97" s="26" t="s">
        <v>482</v>
      </c>
    </row>
    <row r="98" spans="1:4" ht="14.25" customHeight="1" x14ac:dyDescent="0.3">
      <c r="A98" s="26" t="s">
        <v>481</v>
      </c>
      <c r="B98" s="26" t="s">
        <v>264</v>
      </c>
      <c r="C98" s="55">
        <f>Diesel_por_UF!D20</f>
        <v>21.918926351685823</v>
      </c>
      <c r="D98" s="26" t="s">
        <v>482</v>
      </c>
    </row>
    <row r="99" spans="1:4" ht="14.25" customHeight="1" x14ac:dyDescent="0.3">
      <c r="A99" s="26" t="s">
        <v>481</v>
      </c>
      <c r="B99" s="26" t="s">
        <v>250</v>
      </c>
      <c r="C99" s="55">
        <f>Diesel_por_UF!D21</f>
        <v>21.414333645014022</v>
      </c>
      <c r="D99" s="26" t="s">
        <v>482</v>
      </c>
    </row>
    <row r="100" spans="1:4" ht="14.25" customHeight="1" x14ac:dyDescent="0.3">
      <c r="A100" s="26" t="s">
        <v>481</v>
      </c>
      <c r="B100" s="26" t="s">
        <v>141</v>
      </c>
      <c r="C100" s="55">
        <f>Diesel_por_UF!D22</f>
        <v>21.145701556570042</v>
      </c>
      <c r="D100" s="26" t="s">
        <v>482</v>
      </c>
    </row>
    <row r="101" spans="1:4" ht="14.25" customHeight="1" x14ac:dyDescent="0.3">
      <c r="A101" s="26" t="s">
        <v>481</v>
      </c>
      <c r="B101" s="26" t="s">
        <v>239</v>
      </c>
      <c r="C101" s="55">
        <f>Diesel_por_UF!D23</f>
        <v>21.592211649524227</v>
      </c>
      <c r="D101" s="26" t="s">
        <v>482</v>
      </c>
    </row>
    <row r="102" spans="1:4" ht="14.25" customHeight="1" x14ac:dyDescent="0.3">
      <c r="A102" s="26" t="s">
        <v>481</v>
      </c>
      <c r="B102" s="26" t="s">
        <v>210</v>
      </c>
      <c r="C102" s="55">
        <f>Diesel_por_UF!D24</f>
        <v>21.900775534899068</v>
      </c>
      <c r="D102" s="26" t="s">
        <v>482</v>
      </c>
    </row>
    <row r="103" spans="1:4" ht="14.25" customHeight="1" x14ac:dyDescent="0.3">
      <c r="A103" s="26" t="s">
        <v>481</v>
      </c>
      <c r="B103" s="26" t="s">
        <v>252</v>
      </c>
      <c r="C103" s="55">
        <f>Diesel_por_UF!D25</f>
        <v>23.675925416643747</v>
      </c>
      <c r="D103" s="26" t="s">
        <v>482</v>
      </c>
    </row>
    <row r="104" spans="1:4" ht="14.25" customHeight="1" x14ac:dyDescent="0.3">
      <c r="A104" s="26" t="s">
        <v>481</v>
      </c>
      <c r="B104" s="26" t="s">
        <v>271</v>
      </c>
      <c r="C104" s="55">
        <f>Diesel_por_UF!D26</f>
        <v>23.817501787580436</v>
      </c>
      <c r="D104" s="26" t="s">
        <v>482</v>
      </c>
    </row>
    <row r="105" spans="1:4" ht="14.25" customHeight="1" x14ac:dyDescent="0.3">
      <c r="A105" s="26" t="s">
        <v>481</v>
      </c>
      <c r="B105" s="26" t="s">
        <v>151</v>
      </c>
      <c r="C105" s="55">
        <f>Diesel_por_UF!D27</f>
        <v>21.675705406743301</v>
      </c>
      <c r="D105" s="26" t="s">
        <v>482</v>
      </c>
    </row>
    <row r="106" spans="1:4" ht="14.25" customHeight="1" x14ac:dyDescent="0.3">
      <c r="A106" s="26" t="s">
        <v>481</v>
      </c>
      <c r="B106" s="26" t="s">
        <v>155</v>
      </c>
      <c r="C106" s="55">
        <f>Diesel_por_UF!D28</f>
        <v>21.559540179308065</v>
      </c>
      <c r="D106" s="26" t="s">
        <v>482</v>
      </c>
    </row>
    <row r="107" spans="1:4" ht="14.25" customHeight="1" x14ac:dyDescent="0.3">
      <c r="A107" s="26" t="s">
        <v>481</v>
      </c>
      <c r="B107" s="26" t="s">
        <v>254</v>
      </c>
      <c r="C107" s="55">
        <f>Diesel_por_UF!D29</f>
        <v>20.583026236180626</v>
      </c>
      <c r="D107" s="26" t="s">
        <v>482</v>
      </c>
    </row>
    <row r="108" spans="1:4" ht="14.25" customHeight="1" x14ac:dyDescent="0.3">
      <c r="A108" s="26" t="s">
        <v>481</v>
      </c>
      <c r="B108" s="26" t="s">
        <v>212</v>
      </c>
      <c r="C108" s="55">
        <f>Diesel_por_UF!D30</f>
        <v>21.486936912161042</v>
      </c>
      <c r="D108" s="26" t="s">
        <v>482</v>
      </c>
    </row>
    <row r="109" spans="1:4" ht="14.25" customHeight="1" x14ac:dyDescent="0.3">
      <c r="A109" s="26" t="s">
        <v>481</v>
      </c>
      <c r="B109" s="26" t="s">
        <v>257</v>
      </c>
      <c r="C109" s="55">
        <f>Diesel_por_UF!D31</f>
        <v>21.280017600792032</v>
      </c>
      <c r="D109" s="26" t="s">
        <v>482</v>
      </c>
    </row>
    <row r="110" spans="1:4" ht="14.25" customHeight="1" x14ac:dyDescent="0.3">
      <c r="A110" s="26" t="s">
        <v>483</v>
      </c>
      <c r="B110" s="26" t="s">
        <v>221</v>
      </c>
      <c r="C110" s="55">
        <f>H2_por_UF!D5</f>
        <v>37.298336284551112</v>
      </c>
      <c r="D110" s="26" t="s">
        <v>484</v>
      </c>
    </row>
    <row r="111" spans="1:4" ht="14.25" customHeight="1" x14ac:dyDescent="0.3">
      <c r="A111" s="26" t="s">
        <v>483</v>
      </c>
      <c r="B111" s="26" t="s">
        <v>243</v>
      </c>
      <c r="C111" s="55">
        <f>H2_por_UF!D6</f>
        <v>44.118186658027547</v>
      </c>
      <c r="D111" s="26" t="s">
        <v>484</v>
      </c>
    </row>
    <row r="112" spans="1:4" ht="14.25" customHeight="1" x14ac:dyDescent="0.3">
      <c r="A112" s="26" t="s">
        <v>483</v>
      </c>
      <c r="B112" s="26" t="s">
        <v>273</v>
      </c>
      <c r="C112" s="55">
        <f>H2_por_UF!D7</f>
        <v>50.302769079876775</v>
      </c>
      <c r="D112" s="26" t="s">
        <v>484</v>
      </c>
    </row>
    <row r="113" spans="1:4" ht="14.25" customHeight="1" x14ac:dyDescent="0.3">
      <c r="A113" s="26" t="s">
        <v>483</v>
      </c>
      <c r="B113" s="26" t="s">
        <v>144</v>
      </c>
      <c r="C113" s="55">
        <f>H2_por_UF!D8</f>
        <v>42.470299312238453</v>
      </c>
      <c r="D113" s="26" t="s">
        <v>484</v>
      </c>
    </row>
    <row r="114" spans="1:4" ht="14.25" customHeight="1" x14ac:dyDescent="0.3">
      <c r="A114" s="26" t="s">
        <v>483</v>
      </c>
      <c r="B114" s="26" t="s">
        <v>197</v>
      </c>
      <c r="C114" s="55">
        <f>H2_por_UF!D9</f>
        <v>41.275695537939697</v>
      </c>
      <c r="D114" s="26" t="s">
        <v>484</v>
      </c>
    </row>
    <row r="115" spans="1:4" ht="14.25" customHeight="1" x14ac:dyDescent="0.3">
      <c r="A115" s="26" t="s">
        <v>483</v>
      </c>
      <c r="B115" s="26" t="s">
        <v>237</v>
      </c>
      <c r="C115" s="55">
        <f>H2_por_UF!D10</f>
        <v>38.019990850661159</v>
      </c>
      <c r="D115" s="26" t="s">
        <v>484</v>
      </c>
    </row>
    <row r="116" spans="1:4" ht="14.25" customHeight="1" x14ac:dyDescent="0.3">
      <c r="A116" s="26" t="s">
        <v>483</v>
      </c>
      <c r="B116" s="26" t="s">
        <v>262</v>
      </c>
      <c r="C116" s="55">
        <f>H2_por_UF!D11</f>
        <v>47.569340726487574</v>
      </c>
      <c r="D116" s="26" t="s">
        <v>484</v>
      </c>
    </row>
    <row r="117" spans="1:4" ht="14.25" customHeight="1" x14ac:dyDescent="0.3">
      <c r="A117" s="26" t="s">
        <v>483</v>
      </c>
      <c r="B117" s="26" t="s">
        <v>223</v>
      </c>
      <c r="C117" s="55">
        <f>H2_por_UF!D12</f>
        <v>42.627099489945117</v>
      </c>
      <c r="D117" s="26" t="s">
        <v>484</v>
      </c>
    </row>
    <row r="118" spans="1:4" ht="14.25" customHeight="1" x14ac:dyDescent="0.3">
      <c r="A118" s="26" t="s">
        <v>483</v>
      </c>
      <c r="B118" s="26" t="s">
        <v>193</v>
      </c>
      <c r="C118" s="55">
        <f>H2_por_UF!D13</f>
        <v>39.4246144308526</v>
      </c>
      <c r="D118" s="26" t="s">
        <v>484</v>
      </c>
    </row>
    <row r="119" spans="1:4" ht="14.25" customHeight="1" x14ac:dyDescent="0.3">
      <c r="A119" s="26" t="s">
        <v>483</v>
      </c>
      <c r="B119" s="26" t="s">
        <v>246</v>
      </c>
      <c r="C119" s="55">
        <f>H2_por_UF!D14</f>
        <v>36.865836602327057</v>
      </c>
      <c r="D119" s="26" t="s">
        <v>484</v>
      </c>
    </row>
    <row r="120" spans="1:4" ht="14.25" customHeight="1" x14ac:dyDescent="0.3">
      <c r="A120" s="26" t="s">
        <v>483</v>
      </c>
      <c r="B120" s="26" t="s">
        <v>158</v>
      </c>
      <c r="C120" s="55">
        <f>H2_por_UF!D15</f>
        <v>43.569565106135599</v>
      </c>
      <c r="D120" s="26" t="s">
        <v>484</v>
      </c>
    </row>
    <row r="121" spans="1:4" ht="14.25" customHeight="1" x14ac:dyDescent="0.3">
      <c r="A121" s="26" t="s">
        <v>483</v>
      </c>
      <c r="B121" s="26" t="s">
        <v>233</v>
      </c>
      <c r="C121" s="55">
        <f>H2_por_UF!D16</f>
        <v>44.960348439917837</v>
      </c>
      <c r="D121" s="26" t="s">
        <v>484</v>
      </c>
    </row>
    <row r="122" spans="1:4" ht="14.25" customHeight="1" x14ac:dyDescent="0.3">
      <c r="A122" s="26" t="s">
        <v>483</v>
      </c>
      <c r="B122" s="26" t="s">
        <v>235</v>
      </c>
      <c r="C122" s="55">
        <f>H2_por_UF!D17</f>
        <v>46.355679619229576</v>
      </c>
      <c r="D122" s="26" t="s">
        <v>484</v>
      </c>
    </row>
    <row r="123" spans="1:4" ht="14.25" customHeight="1" x14ac:dyDescent="0.3">
      <c r="A123" s="26" t="s">
        <v>483</v>
      </c>
      <c r="B123" s="26" t="s">
        <v>248</v>
      </c>
      <c r="C123" s="55">
        <f>H2_por_UF!D18</f>
        <v>44.651119532640401</v>
      </c>
      <c r="D123" s="26" t="s">
        <v>484</v>
      </c>
    </row>
    <row r="124" spans="1:4" ht="14.25" customHeight="1" x14ac:dyDescent="0.3">
      <c r="A124" s="26" t="s">
        <v>483</v>
      </c>
      <c r="B124" s="26" t="s">
        <v>241</v>
      </c>
      <c r="C124" s="55">
        <f>H2_por_UF!D19</f>
        <v>34.41751989074757</v>
      </c>
      <c r="D124" s="26" t="s">
        <v>484</v>
      </c>
    </row>
    <row r="125" spans="1:4" ht="14.25" customHeight="1" x14ac:dyDescent="0.3">
      <c r="A125" s="26" t="s">
        <v>483</v>
      </c>
      <c r="B125" s="26" t="s">
        <v>264</v>
      </c>
      <c r="C125" s="55">
        <f>H2_por_UF!D20</f>
        <v>42.493159345373613</v>
      </c>
      <c r="D125" s="26" t="s">
        <v>484</v>
      </c>
    </row>
    <row r="126" spans="1:4" ht="14.25" customHeight="1" x14ac:dyDescent="0.3">
      <c r="A126" s="26" t="s">
        <v>483</v>
      </c>
      <c r="B126" s="26" t="s">
        <v>250</v>
      </c>
      <c r="C126" s="55">
        <f>H2_por_UF!D21</f>
        <v>38.485331451272678</v>
      </c>
      <c r="D126" s="26" t="s">
        <v>484</v>
      </c>
    </row>
    <row r="127" spans="1:4" ht="14.25" customHeight="1" x14ac:dyDescent="0.3">
      <c r="A127" s="26" t="s">
        <v>483</v>
      </c>
      <c r="B127" s="26" t="s">
        <v>141</v>
      </c>
      <c r="C127" s="55">
        <f>H2_por_UF!D22</f>
        <v>40.105339456272404</v>
      </c>
      <c r="D127" s="26" t="s">
        <v>484</v>
      </c>
    </row>
    <row r="128" spans="1:4" ht="14.25" customHeight="1" x14ac:dyDescent="0.3">
      <c r="A128" s="26" t="s">
        <v>483</v>
      </c>
      <c r="B128" s="26" t="s">
        <v>239</v>
      </c>
      <c r="C128" s="55">
        <f>H2_por_UF!D23</f>
        <v>47.621653244440459</v>
      </c>
      <c r="D128" s="26" t="s">
        <v>484</v>
      </c>
    </row>
    <row r="129" spans="1:4" ht="14.25" customHeight="1" x14ac:dyDescent="0.3">
      <c r="A129" s="26" t="s">
        <v>483</v>
      </c>
      <c r="B129" s="26" t="s">
        <v>210</v>
      </c>
      <c r="C129" s="55">
        <f>H2_por_UF!D24</f>
        <v>42.310557039821603</v>
      </c>
      <c r="D129" s="26" t="s">
        <v>484</v>
      </c>
    </row>
    <row r="130" spans="1:4" ht="14.25" customHeight="1" x14ac:dyDescent="0.3">
      <c r="A130" s="26" t="s">
        <v>483</v>
      </c>
      <c r="B130" s="26" t="s">
        <v>252</v>
      </c>
      <c r="C130" s="55">
        <f>H2_por_UF!D25</f>
        <v>37.858062319638805</v>
      </c>
      <c r="D130" s="26" t="s">
        <v>484</v>
      </c>
    </row>
    <row r="131" spans="1:4" ht="14.25" customHeight="1" x14ac:dyDescent="0.3">
      <c r="A131" s="26" t="s">
        <v>483</v>
      </c>
      <c r="B131" s="26" t="s">
        <v>271</v>
      </c>
      <c r="C131" s="55">
        <f>H2_por_UF!D26</f>
        <v>41.593392589184944</v>
      </c>
      <c r="D131" s="26" t="s">
        <v>484</v>
      </c>
    </row>
    <row r="132" spans="1:4" ht="14.25" customHeight="1" x14ac:dyDescent="0.3">
      <c r="A132" s="26" t="s">
        <v>483</v>
      </c>
      <c r="B132" s="26" t="s">
        <v>151</v>
      </c>
      <c r="C132" s="55">
        <f>H2_por_UF!D27</f>
        <v>40.732345595428548</v>
      </c>
      <c r="D132" s="26" t="s">
        <v>484</v>
      </c>
    </row>
    <row r="133" spans="1:4" ht="14.25" customHeight="1" x14ac:dyDescent="0.3">
      <c r="A133" s="26" t="s">
        <v>483</v>
      </c>
      <c r="B133" s="26" t="s">
        <v>155</v>
      </c>
      <c r="C133" s="55">
        <f>H2_por_UF!D28</f>
        <v>41.168136959924645</v>
      </c>
      <c r="D133" s="26" t="s">
        <v>484</v>
      </c>
    </row>
    <row r="134" spans="1:4" ht="14.25" customHeight="1" x14ac:dyDescent="0.3">
      <c r="A134" s="26" t="s">
        <v>483</v>
      </c>
      <c r="B134" s="26" t="s">
        <v>254</v>
      </c>
      <c r="C134" s="55">
        <f>H2_por_UF!D29</f>
        <v>37.052691688677449</v>
      </c>
      <c r="D134" s="26" t="s">
        <v>484</v>
      </c>
    </row>
    <row r="135" spans="1:4" ht="14.25" customHeight="1" x14ac:dyDescent="0.3">
      <c r="A135" s="26" t="s">
        <v>483</v>
      </c>
      <c r="B135" s="26" t="s">
        <v>212</v>
      </c>
      <c r="C135" s="55">
        <f>H2_por_UF!D30</f>
        <v>40.41180352149334</v>
      </c>
      <c r="D135" s="26" t="s">
        <v>484</v>
      </c>
    </row>
    <row r="136" spans="1:4" ht="14.25" customHeight="1" x14ac:dyDescent="0.3">
      <c r="A136" s="26" t="s">
        <v>483</v>
      </c>
      <c r="B136" s="26" t="s">
        <v>257</v>
      </c>
      <c r="C136" s="55">
        <f>H2_por_UF!D31</f>
        <v>39.441125226893362</v>
      </c>
      <c r="D136" s="26" t="s">
        <v>484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LEIA-ME</vt:lpstr>
      <vt:lpstr>Premissas</vt:lpstr>
      <vt:lpstr>EE_ANEEL</vt:lpstr>
      <vt:lpstr>EE_por_UF</vt:lpstr>
      <vt:lpstr>GN_Boletim</vt:lpstr>
      <vt:lpstr>GN_por_UF</vt:lpstr>
      <vt:lpstr>CM_Comex</vt:lpstr>
      <vt:lpstr>CM_Frete</vt:lpstr>
      <vt:lpstr>CM_por_UF</vt:lpstr>
      <vt:lpstr>Diesel_por_UF</vt:lpstr>
      <vt:lpstr>H2_por_UF</vt:lpstr>
      <vt:lpstr>Minerio_ANM</vt:lpstr>
      <vt:lpstr>Pelota_Comex</vt:lpstr>
      <vt:lpstr>Ore_Frete</vt:lpstr>
      <vt:lpstr>Ore_por_UF</vt:lpstr>
      <vt:lpstr>Ore_Cost_State</vt:lpstr>
      <vt:lpstr>Fuel_Prices_State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Bruna Guimaraes</cp:lastModifiedBy>
  <cp:revision>0</cp:revision>
  <dcterms:created xsi:type="dcterms:W3CDTF">2026-07-15T21:14:23Z</dcterms:created>
  <dcterms:modified xsi:type="dcterms:W3CDTF">2026-07-20T12:27:11Z</dcterms:modified>
  <dc:language>en-US</dc:language>
</cp:coreProperties>
</file>