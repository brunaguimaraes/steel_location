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steel_location_model/steel_location/"/>
    </mc:Choice>
  </mc:AlternateContent>
  <xr:revisionPtr revIDLastSave="16" documentId="11_70EEE61A97E080E80DF71E0EA184E00117E0569D" xr6:coauthVersionLast="47" xr6:coauthVersionMax="47" xr10:uidLastSave="{D0FF47C1-DFFE-411B-80AA-0CD0D802523F}"/>
  <bookViews>
    <workbookView xWindow="-108" yWindow="-108" windowWidth="23256" windowHeight="12456" tabRatio="788" activeTab="7" xr2:uid="{00000000-000D-0000-FFFF-FFFF00000000}"/>
  </bookViews>
  <sheets>
    <sheet name="Parameters" sheetId="1" r:id="rId1"/>
    <sheet name="Routes" sheetId="2" r:id="rId2"/>
    <sheet name="Route_Fuel_Consumption" sheetId="3" r:id="rId3"/>
    <sheet name="Fuel_Prices" sheetId="4" r:id="rId4"/>
    <sheet name="Emission_Factors" sheetId="5" r:id="rId5"/>
    <sheet name="Emission_Cap" sheetId="6" r:id="rId6"/>
    <sheet name="Production_Target" sheetId="7" r:id="rId7"/>
    <sheet name="Scrap_Supply" sheetId="8" r:id="rId8"/>
    <sheet name="Biomass_Supply" sheetId="9" r:id="rId9"/>
    <sheet name="Fuel_Prices_State" sheetId="10" r:id="rId10"/>
    <sheet name="Greenfield_States" sheetId="11" r:id="rId11"/>
    <sheet name="Charcoal_Supply_State" sheetId="12" r:id="rId12"/>
    <sheet name="Ore_Cost_State" sheetId="13" r:id="rId13"/>
  </sheets>
  <externalReferences>
    <externalReference r:id="rId14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3" i="13" l="1"/>
  <c r="C162" i="13"/>
  <c r="C161" i="13"/>
  <c r="C160" i="13"/>
  <c r="C159" i="13"/>
  <c r="C158" i="13"/>
  <c r="C157" i="13"/>
  <c r="C156" i="13"/>
  <c r="C155" i="13"/>
  <c r="C154" i="13"/>
  <c r="C153" i="13"/>
  <c r="C152" i="13"/>
  <c r="C151" i="13"/>
  <c r="C150" i="13"/>
  <c r="C149" i="13"/>
  <c r="C148" i="13"/>
  <c r="C147" i="13"/>
  <c r="C146" i="13"/>
  <c r="C145" i="13"/>
  <c r="C144" i="13"/>
  <c r="C143" i="13"/>
  <c r="C142" i="13"/>
  <c r="C141" i="13"/>
  <c r="C140" i="13"/>
  <c r="C139" i="13"/>
  <c r="C138" i="13"/>
  <c r="C137" i="13"/>
  <c r="C136" i="13"/>
  <c r="C135" i="13"/>
  <c r="C134" i="13"/>
  <c r="C133" i="13"/>
  <c r="C132" i="13"/>
  <c r="C131" i="13"/>
  <c r="C130" i="13"/>
  <c r="C129" i="13"/>
  <c r="C128" i="13"/>
  <c r="C127" i="13"/>
  <c r="C126" i="13"/>
  <c r="C125" i="13"/>
  <c r="C124" i="13"/>
  <c r="C123" i="13"/>
  <c r="C122" i="13"/>
  <c r="C121" i="13"/>
  <c r="C120" i="13"/>
  <c r="C119" i="13"/>
  <c r="C118" i="13"/>
  <c r="C117" i="13"/>
  <c r="C116" i="13"/>
  <c r="C115" i="13"/>
  <c r="C114" i="13"/>
  <c r="C113" i="13"/>
  <c r="C112" i="13"/>
  <c r="C111" i="13"/>
  <c r="C110" i="13"/>
  <c r="C109" i="13"/>
  <c r="C108" i="13"/>
  <c r="C107" i="13"/>
  <c r="C106" i="13"/>
  <c r="C105" i="13"/>
  <c r="C104" i="13"/>
  <c r="C103" i="13"/>
  <c r="C102" i="13"/>
  <c r="C101" i="13"/>
  <c r="C100" i="13"/>
  <c r="C99" i="13"/>
  <c r="C98" i="13"/>
  <c r="C97" i="13"/>
  <c r="C96" i="13"/>
  <c r="C95" i="13"/>
  <c r="C94" i="13"/>
  <c r="C93" i="13"/>
  <c r="C92" i="13"/>
  <c r="C91" i="13"/>
  <c r="C90" i="13"/>
  <c r="C89" i="13"/>
  <c r="C88" i="13"/>
  <c r="C87" i="13"/>
  <c r="C86" i="13"/>
  <c r="C85" i="13"/>
  <c r="C84" i="13"/>
  <c r="C83" i="13"/>
  <c r="C82" i="13"/>
  <c r="C81" i="13"/>
  <c r="C80" i="13"/>
  <c r="C79" i="13"/>
  <c r="C78" i="13"/>
  <c r="C77" i="13"/>
  <c r="C76" i="13"/>
  <c r="C75" i="13"/>
  <c r="C74" i="13"/>
  <c r="C73" i="13"/>
  <c r="C72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C4" i="13"/>
  <c r="C3" i="13"/>
  <c r="C2" i="13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D55" i="10"/>
  <c r="C55" i="10"/>
  <c r="D54" i="10"/>
  <c r="C54" i="10"/>
  <c r="D53" i="10"/>
  <c r="C53" i="10"/>
  <c r="D52" i="10"/>
  <c r="C52" i="10"/>
  <c r="D51" i="10"/>
  <c r="C51" i="10"/>
  <c r="D50" i="10"/>
  <c r="C50" i="10"/>
  <c r="D49" i="10"/>
  <c r="C49" i="10"/>
  <c r="D48" i="10"/>
  <c r="C48" i="10"/>
  <c r="D47" i="10"/>
  <c r="C47" i="10"/>
  <c r="D46" i="10"/>
  <c r="C46" i="10"/>
  <c r="D45" i="10"/>
  <c r="C45" i="10"/>
  <c r="D44" i="10"/>
  <c r="C44" i="10"/>
  <c r="D43" i="10"/>
  <c r="C43" i="10"/>
  <c r="D42" i="10"/>
  <c r="C42" i="10"/>
  <c r="D41" i="10"/>
  <c r="C41" i="10"/>
  <c r="D40" i="10"/>
  <c r="C40" i="10"/>
  <c r="D39" i="10"/>
  <c r="C39" i="10"/>
  <c r="D38" i="10"/>
  <c r="C38" i="10"/>
  <c r="D37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</calcChain>
</file>

<file path=xl/sharedStrings.xml><?xml version="1.0" encoding="utf-8"?>
<sst xmlns="http://schemas.openxmlformats.org/spreadsheetml/2006/main" count="1106" uniqueCount="108">
  <si>
    <t>Parameter</t>
  </si>
  <si>
    <t>Value</t>
  </si>
  <si>
    <t>Description</t>
  </si>
  <si>
    <t>YEAR_START</t>
  </si>
  <si>
    <t>First year of the optimization horizon</t>
  </si>
  <si>
    <t>YEAR_END</t>
  </si>
  <si>
    <t>Last year of the optimization horizon</t>
  </si>
  <si>
    <t>BASE_YEAR</t>
  </si>
  <si>
    <t>Reference year for base-year calibration</t>
  </si>
  <si>
    <t>DISCOUNT_RATE</t>
  </si>
  <si>
    <t>Annual discount rate (decimal)</t>
  </si>
  <si>
    <t>MINIMUM_UTILIZATION</t>
  </si>
  <si>
    <t>Minimum capacity utilization when plant is active</t>
  </si>
  <si>
    <t>PLANT_LIFETIME</t>
  </si>
  <si>
    <t>Default lifetime (years) for new capacity</t>
  </si>
  <si>
    <t>CAPEX_AMORTIZATION</t>
  </si>
  <si>
    <t>Period (years) over which CAPEX is amortized</t>
  </si>
  <si>
    <t>CAPACITY_MULTIPLIER</t>
  </si>
  <si>
    <t>Successor slot capacity = original × this factor</t>
  </si>
  <si>
    <t>CAPTURE_RATE_CCS</t>
  </si>
  <si>
    <t>CO2 capture rate for BF-BOF-CCS route</t>
  </si>
  <si>
    <t>MAX_RAMP_DOWN</t>
  </si>
  <si>
    <t>Maximum allowed year-on-year production drop</t>
  </si>
  <si>
    <t>Route</t>
  </si>
  <si>
    <t>CAPEX_USD_per_t</t>
  </si>
  <si>
    <t>OPEX_fixed_USD_per_t</t>
  </si>
  <si>
    <t>Scrap_rate_t_per_t</t>
  </si>
  <si>
    <t>Uses_biomass</t>
  </si>
  <si>
    <t>Greenfield_max_capacity_kt</t>
  </si>
  <si>
    <t>BF-BOF MC</t>
  </si>
  <si>
    <t>BF-BOF CC</t>
  </si>
  <si>
    <t>BF-BOF-CCS</t>
  </si>
  <si>
    <t>EAF</t>
  </si>
  <si>
    <t>DR-NG</t>
  </si>
  <si>
    <t>DR-H2</t>
  </si>
  <si>
    <t>IBT</t>
  </si>
  <si>
    <t>Fuel</t>
  </si>
  <si>
    <t>EI_GJ_per_t</t>
  </si>
  <si>
    <t>Carvao mineral</t>
  </si>
  <si>
    <t>Eletricidade</t>
  </si>
  <si>
    <t>Gas natural</t>
  </si>
  <si>
    <t>Coque</t>
  </si>
  <si>
    <t>Gas de coqueria</t>
  </si>
  <si>
    <t>Oleo diesel</t>
  </si>
  <si>
    <t>Carvao vegetal</t>
  </si>
  <si>
    <t>Sucata</t>
  </si>
  <si>
    <t>Hidrogenio</t>
  </si>
  <si>
    <t>Price_USD_per_GJ</t>
  </si>
  <si>
    <t>Oleo combustivel</t>
  </si>
  <si>
    <t>EF_tCO2_per_GJ</t>
  </si>
  <si>
    <t>Notes</t>
  </si>
  <si>
    <t>Direct combustion CO2</t>
  </si>
  <si>
    <t>Net zero (assumes sustainable forestry)</t>
  </si>
  <si>
    <t>Brazilian grid average — varies year by year</t>
  </si>
  <si>
    <t>IPCC default</t>
  </si>
  <si>
    <t>Assumes green H2</t>
  </si>
  <si>
    <t>No combustion CO2 from scrap melting itself</t>
  </si>
  <si>
    <t>Year</t>
  </si>
  <si>
    <t>Emission_cap_tCO2</t>
  </si>
  <si>
    <t>Unnamed: 2</t>
  </si>
  <si>
    <t>Unnamed: 3</t>
  </si>
  <si>
    <t>Unnamed: 4</t>
  </si>
  <si>
    <t>Production_kt</t>
  </si>
  <si>
    <t>Scrap_supply_kt</t>
  </si>
  <si>
    <t>Biomass_supply_GJ</t>
  </si>
  <si>
    <t>State</t>
  </si>
  <si>
    <t>Source_note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</si>
  <si>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</si>
  <si>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</si>
  <si>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</si>
  <si>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</si>
  <si>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</si>
  <si>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</si>
  <si>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</si>
  <si>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</si>
  <si>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</si>
  <si>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</si>
  <si>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</si>
  <si>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</si>
  <si>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</si>
  <si>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</si>
  <si>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</si>
  <si>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</si>
  <si>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</si>
  <si>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</si>
  <si>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</si>
  <si>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</si>
  <si>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</si>
  <si>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</si>
  <si>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</si>
  <si>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</si>
  <si>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</si>
  <si>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</si>
  <si>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</si>
  <si>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UF</t>
  </si>
  <si>
    <t>Region</t>
  </si>
  <si>
    <t>Outra</t>
  </si>
  <si>
    <t>Nordeste</t>
  </si>
  <si>
    <t>Sudeste</t>
  </si>
  <si>
    <t>Supply_PJ_per_year</t>
  </si>
  <si>
    <t>Note</t>
  </si>
  <si>
    <t>TO FILL — not yet enforced by the model (placeholder sheet)</t>
  </si>
  <si>
    <t>Extra_cost_USD_per_t</t>
  </si>
  <si>
    <t>Delta minério comum vs âncora MG: frete ANTT (MRS/EFVM) + dif. mina ANM; intensidade 1,6 t/t</t>
  </si>
  <si>
    <t>Delta pelota DR-grade vs âncora ES (Tubarão): FOB Comex por UF origem + cabotagem; intensidade 1,45 t/t</t>
  </si>
  <si>
    <t>Comex Stat NCM 2701.12.00 CIF nacional + frete ferroviário ANTT (MG/RJ), PCI BEN</t>
  </si>
  <si>
    <t>ANP SLP revenda 2024, método da razão sobre nível do Model_Config</t>
  </si>
  <si>
    <t>Razão amortecida sobre EE ANEEL por UF (alfa=fração eletricidade no LCOH), nível do Model_Config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</si>
</sst>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8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2" fontId="3" fillId="0" borderId="0" xfId="0" applyNumberFormat="1" applyFont="1"/>
    <xf numFmtId="0" fontId="4" fillId="2" borderId="1" xfId="0" applyFont="1" applyFill="1" applyBorder="1"/>
    <xf numFmtId="0" fontId="5" fillId="0" borderId="0" xfId="0" applyFont="1"/>
    <xf numFmtId="2" fontId="6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ad127730922d462/DOUTORADO/0.TESE/modelagem/steel_location_model/steel_location/input/Precos_Energia_por_Estado_v3.xlsx" TargetMode="External"/><Relationship Id="rId1" Type="http://schemas.openxmlformats.org/officeDocument/2006/relationships/externalLinkPath" Target="input/Precos_Energia_por_Estado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IA-ME"/>
      <sheetName val="Premissas"/>
      <sheetName val="EE_ANEEL"/>
      <sheetName val="EE_por_UF"/>
      <sheetName val="GN_Boletim"/>
      <sheetName val="GN_por_UF"/>
      <sheetName val="CM_Comex"/>
      <sheetName val="CM_Frete"/>
      <sheetName val="CM_por_UF"/>
      <sheetName val="Diesel_por_UF"/>
      <sheetName val="H2_por_UF"/>
      <sheetName val="Minerio_ANM"/>
      <sheetName val="Pelota_Comex"/>
      <sheetName val="Ore_Frete"/>
      <sheetName val="Ore_por_UF"/>
      <sheetName val="Ore_Cost_State"/>
      <sheetName val="Fuel_Prices_State"/>
    </sheetNames>
    <sheetDataSet>
      <sheetData sheetId="0"/>
      <sheetData sheetId="1">
        <row r="6">
          <cell r="C6">
            <v>2024</v>
          </cell>
        </row>
        <row r="19">
          <cell r="C19" t="str">
            <v>COM</v>
          </cell>
        </row>
      </sheetData>
      <sheetData sheetId="2"/>
      <sheetData sheetId="3">
        <row r="5">
          <cell r="J5">
            <v>24.432975786579298</v>
          </cell>
          <cell r="K5" t="str">
            <v/>
          </cell>
        </row>
        <row r="6">
          <cell r="J6">
            <v>30.929157247701209</v>
          </cell>
          <cell r="K6" t="str">
            <v/>
          </cell>
        </row>
        <row r="7">
          <cell r="J7">
            <v>36.820220463669912</v>
          </cell>
          <cell r="K7" t="str">
            <v/>
          </cell>
        </row>
        <row r="8">
          <cell r="J8">
            <v>29.359478348679328</v>
          </cell>
          <cell r="K8" t="str">
            <v/>
          </cell>
        </row>
        <row r="9">
          <cell r="J9">
            <v>28.221570261697355</v>
          </cell>
          <cell r="K9" t="str">
            <v/>
          </cell>
        </row>
        <row r="10">
          <cell r="J10">
            <v>25.120380752519686</v>
          </cell>
          <cell r="K10" t="str">
            <v/>
          </cell>
        </row>
        <row r="11">
          <cell r="J11">
            <v>34.21652014442958</v>
          </cell>
          <cell r="K11" t="str">
            <v/>
          </cell>
        </row>
        <row r="12">
          <cell r="J12">
            <v>29.508836817228747</v>
          </cell>
          <cell r="K12" t="str">
            <v/>
          </cell>
        </row>
        <row r="13">
          <cell r="J13">
            <v>26.458341141941396</v>
          </cell>
          <cell r="K13" t="str">
            <v/>
          </cell>
        </row>
        <row r="14">
          <cell r="J14">
            <v>24.021002464036624</v>
          </cell>
          <cell r="K14" t="str">
            <v/>
          </cell>
        </row>
        <row r="15">
          <cell r="J15">
            <v>30.406573179224697</v>
          </cell>
          <cell r="K15" t="str">
            <v/>
          </cell>
        </row>
        <row r="16">
          <cell r="J16">
            <v>31.73135017792416</v>
          </cell>
          <cell r="K16" t="str">
            <v/>
          </cell>
        </row>
        <row r="17">
          <cell r="J17">
            <v>33.060459182195423</v>
          </cell>
          <cell r="K17" t="str">
            <v/>
          </cell>
        </row>
        <row r="18">
          <cell r="J18">
            <v>31.436797220793125</v>
          </cell>
          <cell r="K18" t="str">
            <v/>
          </cell>
        </row>
        <row r="19">
          <cell r="J19">
            <v>21.688882437683297</v>
          </cell>
          <cell r="K19" t="str">
            <v/>
          </cell>
        </row>
        <row r="20">
          <cell r="J20">
            <v>29.38125344861859</v>
          </cell>
          <cell r="K20" t="str">
            <v/>
          </cell>
        </row>
        <row r="21">
          <cell r="J21">
            <v>25.563636369176116</v>
          </cell>
          <cell r="K21" t="str">
            <v/>
          </cell>
        </row>
        <row r="22">
          <cell r="J22">
            <v>27.106759076072652</v>
          </cell>
          <cell r="K22" t="str">
            <v/>
          </cell>
        </row>
        <row r="23">
          <cell r="J23">
            <v>34.266349919380623</v>
          </cell>
          <cell r="K23" t="str">
            <v/>
          </cell>
        </row>
        <row r="24">
          <cell r="J24">
            <v>29.207317416722859</v>
          </cell>
          <cell r="K24" t="str">
            <v/>
          </cell>
        </row>
        <row r="25">
          <cell r="J25">
            <v>24.966137321410816</v>
          </cell>
          <cell r="K25" t="str">
            <v/>
          </cell>
        </row>
        <row r="26">
          <cell r="J26">
            <v>28.524189466156596</v>
          </cell>
          <cell r="K26" t="str">
            <v/>
          </cell>
        </row>
        <row r="27">
          <cell r="J27">
            <v>27.704007612937467</v>
          </cell>
          <cell r="K27" t="str">
            <v/>
          </cell>
        </row>
        <row r="28">
          <cell r="J28">
            <v>28.119116395084177</v>
          </cell>
          <cell r="K28" t="str">
            <v/>
          </cell>
        </row>
        <row r="29">
          <cell r="J29">
            <v>24.198989440493847</v>
          </cell>
          <cell r="K29" t="str">
            <v/>
          </cell>
        </row>
        <row r="30">
          <cell r="J30">
            <v>27.398678410070218</v>
          </cell>
          <cell r="K30" t="str">
            <v/>
          </cell>
        </row>
        <row r="31">
          <cell r="J31">
            <v>26.474068338474254</v>
          </cell>
          <cell r="K31" t="str">
            <v/>
          </cell>
        </row>
      </sheetData>
      <sheetData sheetId="4"/>
      <sheetData sheetId="5">
        <row r="5">
          <cell r="F5">
            <v>19.125598721917218</v>
          </cell>
          <cell r="G5" t="str">
            <v>SIM — nacional</v>
          </cell>
        </row>
        <row r="6">
          <cell r="F6">
            <v>18.030099033788304</v>
          </cell>
          <cell r="G6" t="str">
            <v/>
          </cell>
        </row>
        <row r="7">
          <cell r="F7">
            <v>16.090151669393361</v>
          </cell>
          <cell r="G7" t="str">
            <v/>
          </cell>
        </row>
        <row r="8">
          <cell r="F8">
            <v>19.125598721917218</v>
          </cell>
          <cell r="G8" t="str">
            <v>SIM — nacional</v>
          </cell>
        </row>
        <row r="9">
          <cell r="F9">
            <v>15.177235262619272</v>
          </cell>
          <cell r="G9" t="str">
            <v/>
          </cell>
        </row>
        <row r="10">
          <cell r="F10">
            <v>21.339421008344388</v>
          </cell>
          <cell r="G10" t="str">
            <v/>
          </cell>
        </row>
        <row r="11">
          <cell r="F11">
            <v>19.125598721917218</v>
          </cell>
          <cell r="G11" t="str">
            <v>SIM — nacional</v>
          </cell>
        </row>
        <row r="12">
          <cell r="F12">
            <v>18.943015440562398</v>
          </cell>
          <cell r="G12" t="str">
            <v/>
          </cell>
        </row>
        <row r="13">
          <cell r="F13">
            <v>19.125598721917218</v>
          </cell>
          <cell r="G13" t="str">
            <v>SIM — nacional</v>
          </cell>
        </row>
        <row r="14">
          <cell r="F14">
            <v>19.125598721917218</v>
          </cell>
          <cell r="G14" t="str">
            <v>SIM — nacional</v>
          </cell>
        </row>
        <row r="15">
          <cell r="F15">
            <v>17.687755381248021</v>
          </cell>
          <cell r="G15" t="str">
            <v/>
          </cell>
        </row>
        <row r="16">
          <cell r="F16">
            <v>19.057129991409159</v>
          </cell>
          <cell r="G16" t="str">
            <v/>
          </cell>
        </row>
        <row r="17">
          <cell r="F17">
            <v>19.125598721917218</v>
          </cell>
          <cell r="G17" t="str">
            <v>SIM — nacional</v>
          </cell>
        </row>
        <row r="18">
          <cell r="F18">
            <v>19.125598721917218</v>
          </cell>
          <cell r="G18" t="str">
            <v>SIM — nacional</v>
          </cell>
        </row>
        <row r="19">
          <cell r="F19">
            <v>20.084160949030018</v>
          </cell>
          <cell r="G19" t="str">
            <v/>
          </cell>
        </row>
        <row r="20">
          <cell r="F20">
            <v>18.828900889715641</v>
          </cell>
          <cell r="G20" t="str">
            <v/>
          </cell>
        </row>
        <row r="21">
          <cell r="F21">
            <v>19.125598721917218</v>
          </cell>
          <cell r="G21" t="str">
            <v>SIM — nacional</v>
          </cell>
        </row>
        <row r="22">
          <cell r="F22">
            <v>19.285359093102681</v>
          </cell>
          <cell r="G22" t="str">
            <v/>
          </cell>
        </row>
        <row r="23">
          <cell r="F23">
            <v>20.654733703263819</v>
          </cell>
          <cell r="G23" t="str">
            <v/>
          </cell>
        </row>
        <row r="24">
          <cell r="F24">
            <v>20.198275499876775</v>
          </cell>
          <cell r="G24" t="str">
            <v/>
          </cell>
        </row>
        <row r="25">
          <cell r="F25">
            <v>19.125598721917218</v>
          </cell>
          <cell r="G25" t="str">
            <v>SIM — nacional</v>
          </cell>
        </row>
        <row r="26">
          <cell r="F26">
            <v>19.125598721917218</v>
          </cell>
          <cell r="G26" t="str">
            <v>SIM — nacional</v>
          </cell>
        </row>
        <row r="27">
          <cell r="F27">
            <v>20.654733703263819</v>
          </cell>
          <cell r="G27" t="str">
            <v/>
          </cell>
        </row>
        <row r="28">
          <cell r="F28">
            <v>19.171244542255923</v>
          </cell>
          <cell r="G28" t="str">
            <v/>
          </cell>
        </row>
        <row r="29">
          <cell r="F29">
            <v>19.855931847336493</v>
          </cell>
          <cell r="G29" t="str">
            <v/>
          </cell>
        </row>
        <row r="30">
          <cell r="F30">
            <v>19.323397276718271</v>
          </cell>
          <cell r="G30" t="str">
            <v/>
          </cell>
        </row>
        <row r="31">
          <cell r="F31">
            <v>19.125598721917218</v>
          </cell>
          <cell r="G31" t="str">
            <v>SIM — nacional</v>
          </cell>
        </row>
      </sheetData>
      <sheetData sheetId="6"/>
      <sheetData sheetId="7"/>
      <sheetData sheetId="8">
        <row r="5">
          <cell r="D5">
            <v>6.3954263287481519</v>
          </cell>
        </row>
        <row r="6">
          <cell r="D6">
            <v>6.3954263287481519</v>
          </cell>
        </row>
        <row r="7">
          <cell r="D7">
            <v>6.3954263287481519</v>
          </cell>
        </row>
        <row r="8">
          <cell r="D8">
            <v>6.3954263287481519</v>
          </cell>
        </row>
        <row r="9">
          <cell r="D9">
            <v>6.3954263287481519</v>
          </cell>
        </row>
        <row r="10">
          <cell r="D10">
            <v>6.3954263287481519</v>
          </cell>
        </row>
        <row r="11">
          <cell r="D11">
            <v>6.3954263287481519</v>
          </cell>
        </row>
        <row r="12">
          <cell r="D12">
            <v>6.3954263287481519</v>
          </cell>
        </row>
        <row r="13">
          <cell r="D13">
            <v>6.3954263287481519</v>
          </cell>
        </row>
        <row r="14">
          <cell r="D14">
            <v>6.3954263287481519</v>
          </cell>
        </row>
        <row r="15">
          <cell r="D15">
            <v>7.0379102331182537</v>
          </cell>
        </row>
        <row r="16">
          <cell r="D16">
            <v>6.3954263287481519</v>
          </cell>
        </row>
        <row r="17">
          <cell r="D17">
            <v>6.3954263287481519</v>
          </cell>
        </row>
        <row r="18">
          <cell r="D18">
            <v>6.3954263287481519</v>
          </cell>
        </row>
        <row r="19">
          <cell r="D19">
            <v>6.3954263287481519</v>
          </cell>
        </row>
        <row r="20">
          <cell r="D20">
            <v>6.3954263287481519</v>
          </cell>
        </row>
        <row r="21">
          <cell r="D21">
            <v>6.3954263287481519</v>
          </cell>
        </row>
        <row r="22">
          <cell r="D22">
            <v>6.3954263287481519</v>
          </cell>
        </row>
        <row r="23">
          <cell r="D23">
            <v>6.4986066984327655</v>
          </cell>
        </row>
        <row r="24">
          <cell r="D24">
            <v>6.3954263287481519</v>
          </cell>
        </row>
        <row r="25">
          <cell r="D25">
            <v>6.3954263287481519</v>
          </cell>
        </row>
        <row r="26">
          <cell r="D26">
            <v>6.3954263287481519</v>
          </cell>
        </row>
        <row r="27">
          <cell r="D27">
            <v>6.3954263287481519</v>
          </cell>
        </row>
        <row r="28">
          <cell r="D28">
            <v>6.3954263287481519</v>
          </cell>
        </row>
        <row r="29">
          <cell r="D29">
            <v>6.3954263287481519</v>
          </cell>
        </row>
        <row r="30">
          <cell r="D30">
            <v>6.3954263287481519</v>
          </cell>
        </row>
        <row r="31">
          <cell r="D31">
            <v>6.3954263287481519</v>
          </cell>
        </row>
      </sheetData>
      <sheetData sheetId="9">
        <row r="5">
          <cell r="D5">
            <v>26.590946592596666</v>
          </cell>
        </row>
        <row r="6">
          <cell r="D6">
            <v>21.908035861613769</v>
          </cell>
        </row>
        <row r="7">
          <cell r="D7">
            <v>22.811946537594185</v>
          </cell>
        </row>
        <row r="8">
          <cell r="D8">
            <v>23.476266431989437</v>
          </cell>
        </row>
        <row r="9">
          <cell r="D9">
            <v>21.566800506022766</v>
          </cell>
        </row>
        <row r="10">
          <cell r="D10">
            <v>22.401738078213516</v>
          </cell>
        </row>
        <row r="11">
          <cell r="D11">
            <v>21.156592046642096</v>
          </cell>
        </row>
        <row r="12">
          <cell r="D12">
            <v>21.356251031296402</v>
          </cell>
        </row>
        <row r="13">
          <cell r="D13">
            <v>21.138441229855342</v>
          </cell>
        </row>
        <row r="14">
          <cell r="D14">
            <v>21.09850943292448</v>
          </cell>
        </row>
        <row r="15">
          <cell r="D15">
            <v>20.982344205489245</v>
          </cell>
        </row>
        <row r="16">
          <cell r="D16">
            <v>21.541389362521311</v>
          </cell>
        </row>
        <row r="17">
          <cell r="D17">
            <v>21.900775534899068</v>
          </cell>
        </row>
        <row r="18">
          <cell r="D18">
            <v>23.011605522248502</v>
          </cell>
        </row>
        <row r="19">
          <cell r="D19">
            <v>21.007755348990699</v>
          </cell>
        </row>
        <row r="20">
          <cell r="D20">
            <v>21.918926351685823</v>
          </cell>
        </row>
        <row r="21">
          <cell r="D21">
            <v>21.414333645014022</v>
          </cell>
        </row>
        <row r="22">
          <cell r="D22">
            <v>21.145701556570042</v>
          </cell>
        </row>
        <row r="23">
          <cell r="D23">
            <v>21.592211649524227</v>
          </cell>
        </row>
        <row r="24">
          <cell r="D24">
            <v>21.900775534899068</v>
          </cell>
        </row>
        <row r="25">
          <cell r="D25">
            <v>23.675925416643747</v>
          </cell>
        </row>
        <row r="26">
          <cell r="D26">
            <v>23.817501787580436</v>
          </cell>
        </row>
        <row r="27">
          <cell r="D27">
            <v>21.675705406743301</v>
          </cell>
        </row>
        <row r="28">
          <cell r="D28">
            <v>21.559540179308065</v>
          </cell>
        </row>
        <row r="29">
          <cell r="D29">
            <v>20.583026236180626</v>
          </cell>
        </row>
        <row r="30">
          <cell r="D30">
            <v>21.486936912161042</v>
          </cell>
        </row>
        <row r="31">
          <cell r="D31">
            <v>21.280017600792032</v>
          </cell>
        </row>
      </sheetData>
      <sheetData sheetId="10">
        <row r="5">
          <cell r="D5">
            <v>37.298336284551112</v>
          </cell>
        </row>
        <row r="6">
          <cell r="D6">
            <v>44.118186658027547</v>
          </cell>
        </row>
        <row r="7">
          <cell r="D7">
            <v>50.302769079876775</v>
          </cell>
        </row>
        <row r="8">
          <cell r="D8">
            <v>42.470299312238453</v>
          </cell>
        </row>
        <row r="9">
          <cell r="D9">
            <v>41.275695537939697</v>
          </cell>
        </row>
        <row r="10">
          <cell r="D10">
            <v>38.019990850661159</v>
          </cell>
        </row>
        <row r="11">
          <cell r="D11">
            <v>47.569340726487574</v>
          </cell>
        </row>
        <row r="12">
          <cell r="D12">
            <v>42.627099489945117</v>
          </cell>
        </row>
        <row r="13">
          <cell r="D13">
            <v>39.4246144308526</v>
          </cell>
        </row>
        <row r="14">
          <cell r="D14">
            <v>36.865836602327057</v>
          </cell>
        </row>
        <row r="15">
          <cell r="D15">
            <v>43.569565106135599</v>
          </cell>
        </row>
        <row r="16">
          <cell r="D16">
            <v>44.960348439917837</v>
          </cell>
        </row>
        <row r="17">
          <cell r="D17">
            <v>46.355679619229576</v>
          </cell>
        </row>
        <row r="18">
          <cell r="D18">
            <v>44.651119532640401</v>
          </cell>
        </row>
        <row r="19">
          <cell r="D19">
            <v>34.41751989074757</v>
          </cell>
        </row>
        <row r="20">
          <cell r="D20">
            <v>42.493159345373613</v>
          </cell>
        </row>
        <row r="21">
          <cell r="D21">
            <v>38.485331451272678</v>
          </cell>
        </row>
        <row r="22">
          <cell r="D22">
            <v>40.105339456272404</v>
          </cell>
        </row>
        <row r="23">
          <cell r="D23">
            <v>47.621653244440459</v>
          </cell>
        </row>
        <row r="24">
          <cell r="D24">
            <v>42.310557039821603</v>
          </cell>
        </row>
        <row r="25">
          <cell r="D25">
            <v>37.858062319638805</v>
          </cell>
        </row>
        <row r="26">
          <cell r="D26">
            <v>41.593392589184944</v>
          </cell>
        </row>
        <row r="27">
          <cell r="D27">
            <v>40.732345595428548</v>
          </cell>
        </row>
        <row r="28">
          <cell r="D28">
            <v>41.168136959924645</v>
          </cell>
        </row>
        <row r="29">
          <cell r="D29">
            <v>37.052691688677449</v>
          </cell>
        </row>
        <row r="30">
          <cell r="D30">
            <v>40.41180352149334</v>
          </cell>
        </row>
        <row r="31">
          <cell r="D31">
            <v>39.441125226893362</v>
          </cell>
        </row>
      </sheetData>
      <sheetData sheetId="11"/>
      <sheetData sheetId="12"/>
      <sheetData sheetId="13"/>
      <sheetData sheetId="14">
        <row r="5">
          <cell r="E5">
            <v>0</v>
          </cell>
          <cell r="G5">
            <v>0</v>
          </cell>
        </row>
        <row r="6">
          <cell r="E6">
            <v>0</v>
          </cell>
          <cell r="G6">
            <v>0</v>
          </cell>
        </row>
        <row r="7">
          <cell r="E7">
            <v>0</v>
          </cell>
          <cell r="G7">
            <v>0</v>
          </cell>
        </row>
        <row r="8">
          <cell r="E8">
            <v>0</v>
          </cell>
          <cell r="G8">
            <v>0</v>
          </cell>
        </row>
        <row r="9">
          <cell r="E9">
            <v>0</v>
          </cell>
          <cell r="G9">
            <v>0</v>
          </cell>
        </row>
        <row r="10">
          <cell r="E10">
            <v>25.792000000000002</v>
          </cell>
          <cell r="G10">
            <v>23.374000000000002</v>
          </cell>
        </row>
        <row r="11">
          <cell r="E11">
            <v>0</v>
          </cell>
          <cell r="G11">
            <v>0</v>
          </cell>
        </row>
        <row r="12">
          <cell r="E12">
            <v>20.090437537091987</v>
          </cell>
          <cell r="G12">
            <v>0</v>
          </cell>
        </row>
        <row r="13">
          <cell r="E13">
            <v>0</v>
          </cell>
          <cell r="G13">
            <v>0</v>
          </cell>
        </row>
        <row r="14">
          <cell r="E14">
            <v>0</v>
          </cell>
          <cell r="G14">
            <v>-24.382080255606599</v>
          </cell>
        </row>
        <row r="15">
          <cell r="E15">
            <v>0</v>
          </cell>
          <cell r="G15">
            <v>0</v>
          </cell>
        </row>
        <row r="16">
          <cell r="E16">
            <v>0</v>
          </cell>
          <cell r="G16">
            <v>0</v>
          </cell>
        </row>
        <row r="17">
          <cell r="E17">
            <v>0</v>
          </cell>
          <cell r="G17">
            <v>0</v>
          </cell>
        </row>
        <row r="18">
          <cell r="E18">
            <v>26.443886723023596</v>
          </cell>
          <cell r="G18">
            <v>0</v>
          </cell>
        </row>
        <row r="19">
          <cell r="E19">
            <v>0</v>
          </cell>
          <cell r="G19">
            <v>0</v>
          </cell>
        </row>
        <row r="20">
          <cell r="E20">
            <v>0</v>
          </cell>
          <cell r="G20">
            <v>0</v>
          </cell>
        </row>
        <row r="21">
          <cell r="E21">
            <v>0</v>
          </cell>
          <cell r="G21">
            <v>0</v>
          </cell>
        </row>
        <row r="22">
          <cell r="E22">
            <v>0</v>
          </cell>
          <cell r="G22">
            <v>0</v>
          </cell>
        </row>
        <row r="23">
          <cell r="E23">
            <v>21.614230211492625</v>
          </cell>
          <cell r="G23">
            <v>23.374000000000002</v>
          </cell>
        </row>
        <row r="24">
          <cell r="E24">
            <v>0</v>
          </cell>
          <cell r="G24">
            <v>0</v>
          </cell>
        </row>
        <row r="25">
          <cell r="E25">
            <v>0</v>
          </cell>
          <cell r="G25">
            <v>0</v>
          </cell>
        </row>
        <row r="26">
          <cell r="E26">
            <v>0</v>
          </cell>
          <cell r="G26">
            <v>0</v>
          </cell>
        </row>
        <row r="27">
          <cell r="E27">
            <v>0</v>
          </cell>
          <cell r="G27">
            <v>0</v>
          </cell>
        </row>
        <row r="28">
          <cell r="E28">
            <v>0</v>
          </cell>
          <cell r="G28">
            <v>0</v>
          </cell>
        </row>
        <row r="29">
          <cell r="E29">
            <v>0</v>
          </cell>
          <cell r="G29">
            <v>0</v>
          </cell>
        </row>
        <row r="30">
          <cell r="E30">
            <v>0</v>
          </cell>
          <cell r="G30">
            <v>0</v>
          </cell>
        </row>
        <row r="31">
          <cell r="E31">
            <v>0</v>
          </cell>
          <cell r="G31">
            <v>0</v>
          </cell>
        </row>
      </sheetData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cols>
    <col min="1" max="1" width="2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2023</v>
      </c>
      <c r="C2" t="s">
        <v>4</v>
      </c>
    </row>
    <row r="3" spans="1:3" x14ac:dyDescent="0.3">
      <c r="A3" t="s">
        <v>5</v>
      </c>
      <c r="B3">
        <v>2050</v>
      </c>
      <c r="C3" t="s">
        <v>6</v>
      </c>
    </row>
    <row r="4" spans="1:3" x14ac:dyDescent="0.3">
      <c r="A4" t="s">
        <v>7</v>
      </c>
      <c r="B4">
        <v>2023</v>
      </c>
      <c r="C4" t="s">
        <v>8</v>
      </c>
    </row>
    <row r="5" spans="1:3" x14ac:dyDescent="0.3">
      <c r="A5" t="s">
        <v>9</v>
      </c>
      <c r="B5">
        <v>0.08</v>
      </c>
      <c r="C5" t="s">
        <v>10</v>
      </c>
    </row>
    <row r="6" spans="1:3" x14ac:dyDescent="0.3">
      <c r="A6" t="s">
        <v>11</v>
      </c>
      <c r="B6">
        <v>0.7</v>
      </c>
      <c r="C6" t="s">
        <v>12</v>
      </c>
    </row>
    <row r="7" spans="1:3" x14ac:dyDescent="0.3">
      <c r="A7" t="s">
        <v>13</v>
      </c>
      <c r="B7">
        <v>25</v>
      </c>
      <c r="C7" t="s">
        <v>14</v>
      </c>
    </row>
    <row r="8" spans="1:3" x14ac:dyDescent="0.3">
      <c r="A8" t="s">
        <v>15</v>
      </c>
      <c r="B8">
        <v>25</v>
      </c>
      <c r="C8" t="s">
        <v>16</v>
      </c>
    </row>
    <row r="9" spans="1:3" x14ac:dyDescent="0.3">
      <c r="A9" t="s">
        <v>17</v>
      </c>
      <c r="B9">
        <v>1.5</v>
      </c>
      <c r="C9" t="s">
        <v>18</v>
      </c>
    </row>
    <row r="10" spans="1:3" x14ac:dyDescent="0.3">
      <c r="A10" t="s">
        <v>19</v>
      </c>
      <c r="B10">
        <v>0.8</v>
      </c>
      <c r="C10" t="s">
        <v>20</v>
      </c>
    </row>
    <row r="11" spans="1:3" x14ac:dyDescent="0.3">
      <c r="A11" t="s">
        <v>21</v>
      </c>
      <c r="B11">
        <v>0.1</v>
      </c>
      <c r="C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sqref="A1:F8"/>
    </sheetView>
  </sheetViews>
  <sheetFormatPr defaultRowHeight="14.4" x14ac:dyDescent="0.3"/>
  <cols>
    <col min="1" max="1" width="10.77734375" bestFit="1" customWidth="1"/>
    <col min="4" max="4" width="16.88671875" bestFit="1" customWidth="1"/>
    <col min="5" max="5" width="12.55468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>
        <v>170</v>
      </c>
      <c r="C2">
        <v>89</v>
      </c>
      <c r="D2">
        <v>0</v>
      </c>
      <c r="E2" t="b">
        <v>0</v>
      </c>
      <c r="F2">
        <v>6000</v>
      </c>
    </row>
    <row r="3" spans="1:6" x14ac:dyDescent="0.3">
      <c r="A3" t="s">
        <v>30</v>
      </c>
      <c r="B3">
        <v>170</v>
      </c>
      <c r="C3">
        <v>89</v>
      </c>
      <c r="D3">
        <v>0</v>
      </c>
      <c r="E3" t="b">
        <v>1</v>
      </c>
      <c r="F3">
        <v>4000</v>
      </c>
    </row>
    <row r="4" spans="1:6" x14ac:dyDescent="0.3">
      <c r="A4" t="s">
        <v>31</v>
      </c>
      <c r="B4">
        <v>825</v>
      </c>
      <c r="C4">
        <v>89</v>
      </c>
      <c r="D4">
        <v>0</v>
      </c>
      <c r="E4" t="b">
        <v>0</v>
      </c>
      <c r="F4">
        <v>6000</v>
      </c>
    </row>
    <row r="5" spans="1:6" x14ac:dyDescent="0.3">
      <c r="A5" t="s">
        <v>32</v>
      </c>
      <c r="B5">
        <v>244</v>
      </c>
      <c r="C5">
        <v>46</v>
      </c>
      <c r="D5">
        <v>0.95</v>
      </c>
      <c r="E5" t="b">
        <v>0</v>
      </c>
      <c r="F5">
        <v>2000</v>
      </c>
    </row>
    <row r="6" spans="1:6" x14ac:dyDescent="0.3">
      <c r="A6" t="s">
        <v>33</v>
      </c>
      <c r="B6">
        <v>550</v>
      </c>
      <c r="C6">
        <v>89</v>
      </c>
      <c r="D6">
        <v>0</v>
      </c>
      <c r="E6" t="b">
        <v>0</v>
      </c>
      <c r="F6">
        <v>3000</v>
      </c>
    </row>
    <row r="7" spans="1:6" x14ac:dyDescent="0.3">
      <c r="A7" t="s">
        <v>34</v>
      </c>
      <c r="B7">
        <v>700</v>
      </c>
      <c r="C7">
        <v>70</v>
      </c>
      <c r="D7">
        <v>0</v>
      </c>
      <c r="E7" t="b">
        <v>0</v>
      </c>
      <c r="F7">
        <v>2500</v>
      </c>
    </row>
    <row r="8" spans="1:6" x14ac:dyDescent="0.3">
      <c r="A8" t="s">
        <v>35</v>
      </c>
      <c r="B8">
        <v>500</v>
      </c>
      <c r="C8">
        <v>89</v>
      </c>
      <c r="D8">
        <v>0</v>
      </c>
      <c r="E8" t="b">
        <v>1</v>
      </c>
      <c r="F8">
        <v>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4.4" x14ac:dyDescent="0.3"/>
  <sheetData>
    <row r="1" spans="1:3" x14ac:dyDescent="0.3">
      <c r="A1" t="s">
        <v>23</v>
      </c>
      <c r="B1" t="s">
        <v>36</v>
      </c>
      <c r="C1" t="s">
        <v>37</v>
      </c>
    </row>
    <row r="2" spans="1:3" x14ac:dyDescent="0.3">
      <c r="A2" t="s">
        <v>29</v>
      </c>
      <c r="B2" t="s">
        <v>38</v>
      </c>
      <c r="C2">
        <v>21.15</v>
      </c>
    </row>
    <row r="3" spans="1:3" x14ac:dyDescent="0.3">
      <c r="A3" t="s">
        <v>29</v>
      </c>
      <c r="B3" t="s">
        <v>39</v>
      </c>
      <c r="C3">
        <v>0.47</v>
      </c>
    </row>
    <row r="4" spans="1:3" x14ac:dyDescent="0.3">
      <c r="A4" t="s">
        <v>29</v>
      </c>
      <c r="B4" t="s">
        <v>40</v>
      </c>
      <c r="C4">
        <v>1.28</v>
      </c>
    </row>
    <row r="5" spans="1:3" x14ac:dyDescent="0.3">
      <c r="A5" t="s">
        <v>29</v>
      </c>
      <c r="B5" t="s">
        <v>41</v>
      </c>
      <c r="C5">
        <v>0</v>
      </c>
    </row>
    <row r="6" spans="1:3" x14ac:dyDescent="0.3">
      <c r="A6" t="s">
        <v>29</v>
      </c>
      <c r="B6" t="s">
        <v>42</v>
      </c>
      <c r="C6">
        <v>0</v>
      </c>
    </row>
    <row r="7" spans="1:3" x14ac:dyDescent="0.3">
      <c r="A7" t="s">
        <v>29</v>
      </c>
      <c r="B7" t="s">
        <v>43</v>
      </c>
      <c r="C7">
        <v>0</v>
      </c>
    </row>
    <row r="8" spans="1:3" x14ac:dyDescent="0.3">
      <c r="A8" t="s">
        <v>30</v>
      </c>
      <c r="B8" t="s">
        <v>44</v>
      </c>
      <c r="C8">
        <v>15.582000000000001</v>
      </c>
    </row>
    <row r="9" spans="1:3" x14ac:dyDescent="0.3">
      <c r="A9" t="s">
        <v>30</v>
      </c>
      <c r="B9" t="s">
        <v>38</v>
      </c>
      <c r="C9">
        <v>2.5619999999999998</v>
      </c>
    </row>
    <row r="10" spans="1:3" x14ac:dyDescent="0.3">
      <c r="A10" t="s">
        <v>30</v>
      </c>
      <c r="B10" t="s">
        <v>39</v>
      </c>
      <c r="C10">
        <v>2.0790000000000002</v>
      </c>
    </row>
    <row r="11" spans="1:3" x14ac:dyDescent="0.3">
      <c r="A11" t="s">
        <v>30</v>
      </c>
      <c r="B11" t="s">
        <v>40</v>
      </c>
      <c r="C11">
        <v>0.39900000000000002</v>
      </c>
    </row>
    <row r="12" spans="1:3" x14ac:dyDescent="0.3">
      <c r="A12" t="s">
        <v>30</v>
      </c>
      <c r="B12" t="s">
        <v>43</v>
      </c>
      <c r="C12">
        <v>0.37800000000000011</v>
      </c>
    </row>
    <row r="13" spans="1:3" x14ac:dyDescent="0.3">
      <c r="A13" t="s">
        <v>31</v>
      </c>
      <c r="B13" t="s">
        <v>38</v>
      </c>
      <c r="C13">
        <v>21.15</v>
      </c>
    </row>
    <row r="14" spans="1:3" x14ac:dyDescent="0.3">
      <c r="A14" t="s">
        <v>31</v>
      </c>
      <c r="B14" t="s">
        <v>39</v>
      </c>
      <c r="C14">
        <v>4.13</v>
      </c>
    </row>
    <row r="15" spans="1:3" x14ac:dyDescent="0.3">
      <c r="A15" t="s">
        <v>31</v>
      </c>
      <c r="B15" t="s">
        <v>40</v>
      </c>
      <c r="C15">
        <v>1.28</v>
      </c>
    </row>
    <row r="16" spans="1:3" x14ac:dyDescent="0.3">
      <c r="A16" t="s">
        <v>31</v>
      </c>
      <c r="B16" t="s">
        <v>41</v>
      </c>
      <c r="C16">
        <v>0</v>
      </c>
    </row>
    <row r="17" spans="1:3" x14ac:dyDescent="0.3">
      <c r="A17" t="s">
        <v>31</v>
      </c>
      <c r="B17" t="s">
        <v>42</v>
      </c>
      <c r="C17">
        <v>0</v>
      </c>
    </row>
    <row r="18" spans="1:3" x14ac:dyDescent="0.3">
      <c r="A18" t="s">
        <v>31</v>
      </c>
      <c r="B18" t="s">
        <v>43</v>
      </c>
      <c r="C18">
        <v>0</v>
      </c>
    </row>
    <row r="19" spans="1:3" x14ac:dyDescent="0.3">
      <c r="A19" t="s">
        <v>32</v>
      </c>
      <c r="B19" t="s">
        <v>45</v>
      </c>
      <c r="C19">
        <v>0</v>
      </c>
    </row>
    <row r="20" spans="1:3" x14ac:dyDescent="0.3">
      <c r="A20" t="s">
        <v>32</v>
      </c>
      <c r="B20" t="s">
        <v>39</v>
      </c>
      <c r="C20">
        <v>2.71</v>
      </c>
    </row>
    <row r="21" spans="1:3" x14ac:dyDescent="0.3">
      <c r="A21" t="s">
        <v>32</v>
      </c>
      <c r="B21" t="s">
        <v>40</v>
      </c>
      <c r="C21">
        <v>3.05</v>
      </c>
    </row>
    <row r="22" spans="1:3" x14ac:dyDescent="0.3">
      <c r="A22" t="s">
        <v>32</v>
      </c>
      <c r="B22" t="s">
        <v>43</v>
      </c>
      <c r="C22">
        <v>0</v>
      </c>
    </row>
    <row r="23" spans="1:3" x14ac:dyDescent="0.3">
      <c r="A23" t="s">
        <v>32</v>
      </c>
      <c r="B23" t="s">
        <v>38</v>
      </c>
      <c r="C23">
        <v>0.4</v>
      </c>
    </row>
    <row r="24" spans="1:3" x14ac:dyDescent="0.3">
      <c r="A24" t="s">
        <v>33</v>
      </c>
      <c r="B24" t="s">
        <v>40</v>
      </c>
      <c r="C24">
        <v>18.809999999999999</v>
      </c>
    </row>
    <row r="25" spans="1:3" x14ac:dyDescent="0.3">
      <c r="A25" t="s">
        <v>33</v>
      </c>
      <c r="B25" t="s">
        <v>39</v>
      </c>
      <c r="C25">
        <v>2.0499999999999998</v>
      </c>
    </row>
    <row r="26" spans="1:3" x14ac:dyDescent="0.3">
      <c r="A26" t="s">
        <v>33</v>
      </c>
      <c r="B26" t="s">
        <v>38</v>
      </c>
      <c r="C26">
        <v>0.08</v>
      </c>
    </row>
    <row r="27" spans="1:3" x14ac:dyDescent="0.3">
      <c r="A27" t="s">
        <v>34</v>
      </c>
      <c r="B27" t="s">
        <v>46</v>
      </c>
      <c r="C27">
        <v>11.57</v>
      </c>
    </row>
    <row r="28" spans="1:3" x14ac:dyDescent="0.3">
      <c r="A28" t="s">
        <v>34</v>
      </c>
      <c r="B28" t="s">
        <v>39</v>
      </c>
      <c r="C28">
        <v>2.7</v>
      </c>
    </row>
    <row r="29" spans="1:3" x14ac:dyDescent="0.3">
      <c r="A29" t="s">
        <v>34</v>
      </c>
      <c r="B29" t="s">
        <v>40</v>
      </c>
      <c r="C29">
        <v>0</v>
      </c>
    </row>
    <row r="30" spans="1:3" x14ac:dyDescent="0.3">
      <c r="A30" t="s">
        <v>35</v>
      </c>
      <c r="B30" t="s">
        <v>44</v>
      </c>
      <c r="C30">
        <v>16</v>
      </c>
    </row>
    <row r="31" spans="1:3" x14ac:dyDescent="0.3">
      <c r="A31" t="s">
        <v>35</v>
      </c>
      <c r="B31" t="s">
        <v>39</v>
      </c>
      <c r="C31">
        <v>3</v>
      </c>
    </row>
    <row r="32" spans="1:3" x14ac:dyDescent="0.3">
      <c r="A32" t="s">
        <v>35</v>
      </c>
      <c r="B32" t="s">
        <v>40</v>
      </c>
      <c r="C32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t="s">
        <v>36</v>
      </c>
      <c r="B1" t="s">
        <v>47</v>
      </c>
    </row>
    <row r="2" spans="1:2" x14ac:dyDescent="0.3">
      <c r="A2" t="s">
        <v>38</v>
      </c>
      <c r="B2">
        <v>6.2</v>
      </c>
    </row>
    <row r="3" spans="1:2" x14ac:dyDescent="0.3">
      <c r="A3" t="s">
        <v>44</v>
      </c>
      <c r="B3">
        <v>9.8000000000000007</v>
      </c>
    </row>
    <row r="4" spans="1:2" x14ac:dyDescent="0.3">
      <c r="A4" t="s">
        <v>41</v>
      </c>
      <c r="B4">
        <v>12</v>
      </c>
    </row>
    <row r="5" spans="1:2" x14ac:dyDescent="0.3">
      <c r="A5" t="s">
        <v>39</v>
      </c>
      <c r="B5">
        <v>35.799999999999997</v>
      </c>
    </row>
    <row r="6" spans="1:2" x14ac:dyDescent="0.3">
      <c r="A6" t="s">
        <v>40</v>
      </c>
      <c r="B6">
        <v>13.3</v>
      </c>
    </row>
    <row r="7" spans="1:2" x14ac:dyDescent="0.3">
      <c r="A7" t="s">
        <v>46</v>
      </c>
      <c r="B7">
        <v>41.6</v>
      </c>
    </row>
    <row r="8" spans="1:2" x14ac:dyDescent="0.3">
      <c r="A8" t="s">
        <v>48</v>
      </c>
      <c r="B8">
        <v>9.3000000000000007</v>
      </c>
    </row>
    <row r="9" spans="1:2" x14ac:dyDescent="0.3">
      <c r="A9" t="s">
        <v>45</v>
      </c>
      <c r="B9">
        <v>0</v>
      </c>
    </row>
    <row r="10" spans="1:2" x14ac:dyDescent="0.3">
      <c r="A10" t="s">
        <v>43</v>
      </c>
      <c r="B10">
        <v>22</v>
      </c>
    </row>
    <row r="11" spans="1:2" x14ac:dyDescent="0.3">
      <c r="A11" t="s">
        <v>42</v>
      </c>
      <c r="B11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sheetData>
    <row r="1" spans="1:3" x14ac:dyDescent="0.3">
      <c r="A1" t="s">
        <v>36</v>
      </c>
      <c r="B1" t="s">
        <v>49</v>
      </c>
      <c r="C1" t="s">
        <v>50</v>
      </c>
    </row>
    <row r="2" spans="1:3" x14ac:dyDescent="0.3">
      <c r="A2" t="s">
        <v>38</v>
      </c>
      <c r="B2">
        <v>9.5000000000000001E-2</v>
      </c>
      <c r="C2" t="s">
        <v>51</v>
      </c>
    </row>
    <row r="3" spans="1:3" x14ac:dyDescent="0.3">
      <c r="A3" t="s">
        <v>44</v>
      </c>
      <c r="B3">
        <v>0</v>
      </c>
      <c r="C3" t="s">
        <v>52</v>
      </c>
    </row>
    <row r="4" spans="1:3" x14ac:dyDescent="0.3">
      <c r="A4" t="s">
        <v>41</v>
      </c>
      <c r="B4">
        <v>0.106</v>
      </c>
      <c r="C4" t="s">
        <v>51</v>
      </c>
    </row>
    <row r="5" spans="1:3" x14ac:dyDescent="0.3">
      <c r="A5" t="s">
        <v>39</v>
      </c>
      <c r="B5">
        <v>0</v>
      </c>
      <c r="C5" t="s">
        <v>53</v>
      </c>
    </row>
    <row r="6" spans="1:3" x14ac:dyDescent="0.3">
      <c r="A6" t="s">
        <v>40</v>
      </c>
      <c r="B6">
        <v>5.6099999999999997E-2</v>
      </c>
      <c r="C6" t="s">
        <v>54</v>
      </c>
    </row>
    <row r="7" spans="1:3" x14ac:dyDescent="0.3">
      <c r="A7" t="s">
        <v>46</v>
      </c>
      <c r="B7">
        <v>0</v>
      </c>
      <c r="C7" t="s">
        <v>55</v>
      </c>
    </row>
    <row r="8" spans="1:3" x14ac:dyDescent="0.3">
      <c r="A8" t="s">
        <v>48</v>
      </c>
      <c r="B8">
        <v>7.7399999999999997E-2</v>
      </c>
      <c r="C8" t="s">
        <v>54</v>
      </c>
    </row>
    <row r="9" spans="1:3" x14ac:dyDescent="0.3">
      <c r="A9" t="s">
        <v>45</v>
      </c>
      <c r="B9">
        <v>0</v>
      </c>
      <c r="C9" t="s">
        <v>56</v>
      </c>
    </row>
    <row r="10" spans="1:3" x14ac:dyDescent="0.3">
      <c r="A10" t="s">
        <v>43</v>
      </c>
      <c r="B10">
        <v>7.4099999999999999E-2</v>
      </c>
    </row>
    <row r="11" spans="1:3" x14ac:dyDescent="0.3">
      <c r="A11" t="s">
        <v>42</v>
      </c>
      <c r="B11">
        <v>4.4400000000000002E-2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54000000</v>
      </c>
    </row>
    <row r="3" spans="1:5" x14ac:dyDescent="0.3">
      <c r="A3">
        <v>2024</v>
      </c>
      <c r="B3">
        <v>54000000</v>
      </c>
    </row>
    <row r="4" spans="1:5" x14ac:dyDescent="0.3">
      <c r="A4">
        <v>2025</v>
      </c>
      <c r="B4">
        <v>54000000</v>
      </c>
    </row>
    <row r="5" spans="1:5" x14ac:dyDescent="0.3">
      <c r="A5">
        <v>2026</v>
      </c>
      <c r="B5">
        <v>54000000</v>
      </c>
    </row>
    <row r="6" spans="1:5" x14ac:dyDescent="0.3">
      <c r="A6">
        <v>2027</v>
      </c>
      <c r="B6">
        <v>54000000</v>
      </c>
    </row>
    <row r="7" spans="1:5" x14ac:dyDescent="0.3">
      <c r="A7">
        <v>2028</v>
      </c>
      <c r="B7">
        <v>54000000</v>
      </c>
    </row>
    <row r="8" spans="1:5" x14ac:dyDescent="0.3">
      <c r="A8">
        <v>2029</v>
      </c>
      <c r="B8">
        <v>54000000</v>
      </c>
    </row>
    <row r="9" spans="1:5" x14ac:dyDescent="0.3">
      <c r="A9">
        <v>2030</v>
      </c>
      <c r="B9">
        <v>54000000</v>
      </c>
    </row>
    <row r="10" spans="1:5" x14ac:dyDescent="0.3">
      <c r="A10">
        <v>2031</v>
      </c>
      <c r="B10">
        <v>54000000</v>
      </c>
      <c r="D10">
        <v>2033</v>
      </c>
      <c r="E10">
        <v>0</v>
      </c>
    </row>
    <row r="11" spans="1:5" x14ac:dyDescent="0.3">
      <c r="A11">
        <v>2032</v>
      </c>
      <c r="B11">
        <v>54000000</v>
      </c>
      <c r="D11">
        <v>2035</v>
      </c>
      <c r="E11">
        <v>-2.1786492374726851E-3</v>
      </c>
    </row>
    <row r="12" spans="1:5" x14ac:dyDescent="0.3">
      <c r="A12">
        <v>2033</v>
      </c>
      <c r="B12">
        <v>54000000</v>
      </c>
      <c r="D12">
        <v>2050</v>
      </c>
      <c r="E12">
        <v>-1.851851851851849E-2</v>
      </c>
    </row>
    <row r="13" spans="1:5" x14ac:dyDescent="0.3">
      <c r="A13">
        <v>2034</v>
      </c>
      <c r="B13">
        <v>53941176.470588237</v>
      </c>
    </row>
    <row r="14" spans="1:5" x14ac:dyDescent="0.3">
      <c r="A14">
        <v>2035</v>
      </c>
      <c r="B14">
        <v>53882352.941176467</v>
      </c>
    </row>
    <row r="15" spans="1:5" x14ac:dyDescent="0.3">
      <c r="A15">
        <v>2036</v>
      </c>
      <c r="B15">
        <v>53823529.411764711</v>
      </c>
    </row>
    <row r="16" spans="1:5" x14ac:dyDescent="0.3">
      <c r="A16">
        <v>2037</v>
      </c>
      <c r="B16">
        <v>53764705.882352948</v>
      </c>
    </row>
    <row r="17" spans="1:2" x14ac:dyDescent="0.3">
      <c r="A17">
        <v>2038</v>
      </c>
      <c r="B17">
        <v>53705882.352941193</v>
      </c>
    </row>
    <row r="18" spans="1:2" x14ac:dyDescent="0.3">
      <c r="A18">
        <v>2039</v>
      </c>
      <c r="B18">
        <v>53647058.823529422</v>
      </c>
    </row>
    <row r="19" spans="1:2" x14ac:dyDescent="0.3">
      <c r="A19">
        <v>2040</v>
      </c>
      <c r="B19">
        <v>53588235.294117659</v>
      </c>
    </row>
    <row r="20" spans="1:2" x14ac:dyDescent="0.3">
      <c r="A20">
        <v>2041</v>
      </c>
      <c r="B20">
        <v>53529411.764705896</v>
      </c>
    </row>
    <row r="21" spans="1:2" x14ac:dyDescent="0.3">
      <c r="A21">
        <v>2042</v>
      </c>
      <c r="B21">
        <v>53470588.235294133</v>
      </c>
    </row>
    <row r="22" spans="1:2" x14ac:dyDescent="0.3">
      <c r="A22">
        <v>2043</v>
      </c>
      <c r="B22">
        <v>53411764.70588237</v>
      </c>
    </row>
    <row r="23" spans="1:2" x14ac:dyDescent="0.3">
      <c r="A23">
        <v>2044</v>
      </c>
      <c r="B23">
        <v>53352941.176470608</v>
      </c>
    </row>
    <row r="24" spans="1:2" x14ac:dyDescent="0.3">
      <c r="A24">
        <v>2045</v>
      </c>
      <c r="B24">
        <v>53294117.647058837</v>
      </c>
    </row>
    <row r="25" spans="1:2" x14ac:dyDescent="0.3">
      <c r="A25">
        <v>2046</v>
      </c>
      <c r="B25">
        <v>53235294.117647082</v>
      </c>
    </row>
    <row r="26" spans="1:2" x14ac:dyDescent="0.3">
      <c r="A26">
        <v>2047</v>
      </c>
      <c r="B26">
        <v>53176470.588235319</v>
      </c>
    </row>
    <row r="27" spans="1:2" x14ac:dyDescent="0.3">
      <c r="A27">
        <v>2048</v>
      </c>
      <c r="B27">
        <v>53117647.058823563</v>
      </c>
    </row>
    <row r="28" spans="1:2" x14ac:dyDescent="0.3">
      <c r="A28">
        <v>2049</v>
      </c>
      <c r="B28">
        <v>53058823.529411793</v>
      </c>
    </row>
    <row r="29" spans="1:2" x14ac:dyDescent="0.3">
      <c r="A29">
        <v>2050</v>
      </c>
      <c r="B29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62</v>
      </c>
      <c r="C1" t="s">
        <v>59</v>
      </c>
      <c r="D1" t="s">
        <v>60</v>
      </c>
      <c r="E1" t="s">
        <v>61</v>
      </c>
    </row>
    <row r="2" spans="1:5" x14ac:dyDescent="0.3">
      <c r="A2">
        <v>2023</v>
      </c>
      <c r="B2">
        <v>32300</v>
      </c>
    </row>
    <row r="3" spans="1:5" x14ac:dyDescent="0.3">
      <c r="A3">
        <v>2024</v>
      </c>
      <c r="B3">
        <v>33325.925925925927</v>
      </c>
    </row>
    <row r="4" spans="1:5" x14ac:dyDescent="0.3">
      <c r="A4">
        <v>2025</v>
      </c>
      <c r="B4">
        <v>34351.851851851847</v>
      </c>
    </row>
    <row r="5" spans="1:5" x14ac:dyDescent="0.3">
      <c r="A5">
        <v>2026</v>
      </c>
      <c r="B5">
        <v>35377.777777777781</v>
      </c>
    </row>
    <row r="6" spans="1:5" x14ac:dyDescent="0.3">
      <c r="A6">
        <v>2027</v>
      </c>
      <c r="B6">
        <v>36403.703703703708</v>
      </c>
    </row>
    <row r="7" spans="1:5" x14ac:dyDescent="0.3">
      <c r="A7">
        <v>2028</v>
      </c>
      <c r="B7">
        <v>37429.629629629642</v>
      </c>
    </row>
    <row r="8" spans="1:5" x14ac:dyDescent="0.3">
      <c r="A8">
        <v>2029</v>
      </c>
      <c r="B8">
        <v>38455.555555555562</v>
      </c>
    </row>
    <row r="9" spans="1:5" x14ac:dyDescent="0.3">
      <c r="A9">
        <v>2030</v>
      </c>
      <c r="B9">
        <v>39481.481481481489</v>
      </c>
    </row>
    <row r="10" spans="1:5" x14ac:dyDescent="0.3">
      <c r="A10">
        <v>2031</v>
      </c>
      <c r="B10">
        <v>40507.407407407423</v>
      </c>
    </row>
    <row r="11" spans="1:5" x14ac:dyDescent="0.3">
      <c r="A11">
        <v>2032</v>
      </c>
      <c r="B11">
        <v>41533.333333333343</v>
      </c>
    </row>
    <row r="12" spans="1:5" x14ac:dyDescent="0.3">
      <c r="A12">
        <v>2033</v>
      </c>
      <c r="B12">
        <v>42559.25925925927</v>
      </c>
      <c r="E12">
        <v>0.85758513931888536</v>
      </c>
    </row>
    <row r="13" spans="1:5" x14ac:dyDescent="0.3">
      <c r="A13">
        <v>2034</v>
      </c>
      <c r="B13">
        <v>43585.185185185197</v>
      </c>
    </row>
    <row r="14" spans="1:5" x14ac:dyDescent="0.3">
      <c r="A14">
        <v>2035</v>
      </c>
      <c r="B14">
        <v>44611.111111111117</v>
      </c>
    </row>
    <row r="15" spans="1:5" x14ac:dyDescent="0.3">
      <c r="A15">
        <v>2036</v>
      </c>
      <c r="B15">
        <v>45637.037037037051</v>
      </c>
    </row>
    <row r="16" spans="1:5" x14ac:dyDescent="0.3">
      <c r="A16">
        <v>2037</v>
      </c>
      <c r="B16">
        <v>46662.962962962978</v>
      </c>
    </row>
    <row r="17" spans="1:2" x14ac:dyDescent="0.3">
      <c r="A17">
        <v>2038</v>
      </c>
      <c r="B17">
        <v>47688.888888888912</v>
      </c>
    </row>
    <row r="18" spans="1:2" x14ac:dyDescent="0.3">
      <c r="A18">
        <v>2039</v>
      </c>
      <c r="B18">
        <v>48714.814814814832</v>
      </c>
    </row>
    <row r="19" spans="1:2" x14ac:dyDescent="0.3">
      <c r="A19">
        <v>2040</v>
      </c>
      <c r="B19">
        <v>49740.740740740759</v>
      </c>
    </row>
    <row r="20" spans="1:2" x14ac:dyDescent="0.3">
      <c r="A20">
        <v>2041</v>
      </c>
      <c r="B20">
        <v>50766.666666666693</v>
      </c>
    </row>
    <row r="21" spans="1:2" x14ac:dyDescent="0.3">
      <c r="A21">
        <v>2042</v>
      </c>
      <c r="B21">
        <v>51792.592592592613</v>
      </c>
    </row>
    <row r="22" spans="1:2" x14ac:dyDescent="0.3">
      <c r="A22">
        <v>2043</v>
      </c>
      <c r="B22">
        <v>52818.51851851854</v>
      </c>
    </row>
    <row r="23" spans="1:2" x14ac:dyDescent="0.3">
      <c r="A23">
        <v>2044</v>
      </c>
      <c r="B23">
        <v>53844.444444444467</v>
      </c>
    </row>
    <row r="24" spans="1:2" x14ac:dyDescent="0.3">
      <c r="A24">
        <v>2045</v>
      </c>
      <c r="B24">
        <v>54870.370370370387</v>
      </c>
    </row>
    <row r="25" spans="1:2" x14ac:dyDescent="0.3">
      <c r="A25">
        <v>2046</v>
      </c>
      <c r="B25">
        <v>55896.296296296321</v>
      </c>
    </row>
    <row r="26" spans="1:2" x14ac:dyDescent="0.3">
      <c r="A26">
        <v>2047</v>
      </c>
      <c r="B26">
        <v>56922.222222222248</v>
      </c>
    </row>
    <row r="27" spans="1:2" x14ac:dyDescent="0.3">
      <c r="A27">
        <v>2048</v>
      </c>
      <c r="B27">
        <v>57948.148148148182</v>
      </c>
    </row>
    <row r="28" spans="1:2" x14ac:dyDescent="0.3">
      <c r="A28">
        <v>2049</v>
      </c>
      <c r="B28">
        <v>58974.074074074102</v>
      </c>
    </row>
    <row r="29" spans="1:2" x14ac:dyDescent="0.3">
      <c r="A29">
        <v>2050</v>
      </c>
      <c r="B29">
        <v>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9"/>
  <sheetViews>
    <sheetView tabSelected="1" topLeftCell="A8" workbookViewId="0">
      <selection sqref="A1:B29"/>
    </sheetView>
  </sheetViews>
  <sheetFormatPr defaultRowHeight="14.4" x14ac:dyDescent="0.3"/>
  <sheetData>
    <row r="1" spans="1:2" x14ac:dyDescent="0.3">
      <c r="A1" t="s">
        <v>57</v>
      </c>
      <c r="B1" t="s">
        <v>63</v>
      </c>
    </row>
    <row r="2" spans="1:2" x14ac:dyDescent="0.3">
      <c r="A2">
        <v>2023</v>
      </c>
      <c r="B2">
        <v>8585.9546279999995</v>
      </c>
    </row>
    <row r="3" spans="1:2" x14ac:dyDescent="0.3">
      <c r="A3">
        <v>2024</v>
      </c>
      <c r="B3">
        <v>9146.3456559999995</v>
      </c>
    </row>
    <row r="4" spans="1:2" x14ac:dyDescent="0.3">
      <c r="A4">
        <v>2025</v>
      </c>
      <c r="B4">
        <v>9346.3571019999999</v>
      </c>
    </row>
    <row r="5" spans="1:2" x14ac:dyDescent="0.3">
      <c r="A5">
        <v>2026</v>
      </c>
      <c r="B5">
        <v>9544.9016900000006</v>
      </c>
    </row>
    <row r="6" spans="1:2" x14ac:dyDescent="0.3">
      <c r="A6">
        <v>2027</v>
      </c>
      <c r="B6">
        <v>9936.4921429999995</v>
      </c>
    </row>
    <row r="7" spans="1:2" x14ac:dyDescent="0.3">
      <c r="A7">
        <v>2028</v>
      </c>
      <c r="B7">
        <v>10471.211719999999</v>
      </c>
    </row>
    <row r="8" spans="1:2" x14ac:dyDescent="0.3">
      <c r="A8">
        <v>2029</v>
      </c>
      <c r="B8">
        <v>10324.518760000001</v>
      </c>
    </row>
    <row r="9" spans="1:2" x14ac:dyDescent="0.3">
      <c r="A9">
        <v>2030</v>
      </c>
      <c r="B9">
        <v>11030.79168</v>
      </c>
    </row>
    <row r="10" spans="1:2" x14ac:dyDescent="0.3">
      <c r="A10">
        <v>2031</v>
      </c>
      <c r="B10">
        <v>11199.37595</v>
      </c>
    </row>
    <row r="11" spans="1:2" x14ac:dyDescent="0.3">
      <c r="A11">
        <v>2032</v>
      </c>
      <c r="B11">
        <v>10941.44312</v>
      </c>
    </row>
    <row r="12" spans="1:2" x14ac:dyDescent="0.3">
      <c r="A12">
        <v>2033</v>
      </c>
      <c r="B12">
        <v>11549.85806</v>
      </c>
    </row>
    <row r="13" spans="1:2" x14ac:dyDescent="0.3">
      <c r="A13">
        <v>2034</v>
      </c>
      <c r="B13">
        <v>12125.15724</v>
      </c>
    </row>
    <row r="14" spans="1:2" x14ac:dyDescent="0.3">
      <c r="A14">
        <v>2035</v>
      </c>
      <c r="B14">
        <v>12527.7192</v>
      </c>
    </row>
    <row r="15" spans="1:2" x14ac:dyDescent="0.3">
      <c r="A15">
        <v>2036</v>
      </c>
      <c r="B15">
        <v>12603.54664</v>
      </c>
    </row>
    <row r="16" spans="1:2" x14ac:dyDescent="0.3">
      <c r="A16">
        <v>2037</v>
      </c>
      <c r="B16">
        <v>12653.02989</v>
      </c>
    </row>
    <row r="17" spans="1:2" x14ac:dyDescent="0.3">
      <c r="A17">
        <v>2038</v>
      </c>
      <c r="B17">
        <v>12990.06961</v>
      </c>
    </row>
    <row r="18" spans="1:2" x14ac:dyDescent="0.3">
      <c r="A18">
        <v>2039</v>
      </c>
      <c r="B18">
        <v>13153.95205</v>
      </c>
    </row>
    <row r="19" spans="1:2" x14ac:dyDescent="0.3">
      <c r="A19">
        <v>2040</v>
      </c>
      <c r="B19">
        <v>13470.31703</v>
      </c>
    </row>
    <row r="20" spans="1:2" x14ac:dyDescent="0.3">
      <c r="A20">
        <v>2041</v>
      </c>
      <c r="B20">
        <v>13943.67013</v>
      </c>
    </row>
    <row r="21" spans="1:2" x14ac:dyDescent="0.3">
      <c r="A21">
        <v>2042</v>
      </c>
      <c r="B21">
        <v>14415.39372</v>
      </c>
    </row>
    <row r="22" spans="1:2" x14ac:dyDescent="0.3">
      <c r="A22">
        <v>2043</v>
      </c>
      <c r="B22">
        <v>14885.733980000001</v>
      </c>
    </row>
    <row r="23" spans="1:2" x14ac:dyDescent="0.3">
      <c r="A23">
        <v>2044</v>
      </c>
      <c r="B23">
        <v>15217.958259999999</v>
      </c>
    </row>
    <row r="24" spans="1:2" x14ac:dyDescent="0.3">
      <c r="A24">
        <v>2045</v>
      </c>
      <c r="B24">
        <v>15548.04852</v>
      </c>
    </row>
    <row r="25" spans="1:2" x14ac:dyDescent="0.3">
      <c r="A25">
        <v>2046</v>
      </c>
      <c r="B25">
        <v>15876.22228</v>
      </c>
    </row>
    <row r="26" spans="1:2" x14ac:dyDescent="0.3">
      <c r="A26">
        <v>2047</v>
      </c>
      <c r="B26">
        <v>16174.146549999999</v>
      </c>
    </row>
    <row r="27" spans="1:2" x14ac:dyDescent="0.3">
      <c r="A27">
        <v>2048</v>
      </c>
      <c r="B27">
        <v>16470.57026</v>
      </c>
    </row>
    <row r="28" spans="1:2" x14ac:dyDescent="0.3">
      <c r="A28">
        <v>2049</v>
      </c>
      <c r="B28">
        <v>16765.692299999999</v>
      </c>
    </row>
    <row r="29" spans="1:2" x14ac:dyDescent="0.3">
      <c r="A29">
        <v>2050</v>
      </c>
      <c r="B29">
        <v>17059.705740000001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9"/>
  <sheetViews>
    <sheetView workbookViewId="0"/>
  </sheetViews>
  <sheetFormatPr defaultRowHeight="14.4" x14ac:dyDescent="0.3"/>
  <sheetData>
    <row r="1" spans="1:2" x14ac:dyDescent="0.3">
      <c r="A1" t="s">
        <v>57</v>
      </c>
      <c r="B1" t="s">
        <v>64</v>
      </c>
    </row>
    <row r="2" spans="1:2" x14ac:dyDescent="0.3">
      <c r="A2">
        <v>2023</v>
      </c>
      <c r="B2">
        <v>200000000</v>
      </c>
    </row>
    <row r="3" spans="1:2" x14ac:dyDescent="0.3">
      <c r="A3">
        <v>2024</v>
      </c>
      <c r="B3">
        <v>205555556</v>
      </c>
    </row>
    <row r="4" spans="1:2" x14ac:dyDescent="0.3">
      <c r="A4">
        <v>2025</v>
      </c>
      <c r="B4">
        <v>211111111</v>
      </c>
    </row>
    <row r="5" spans="1:2" x14ac:dyDescent="0.3">
      <c r="A5">
        <v>2026</v>
      </c>
      <c r="B5">
        <v>216666667</v>
      </c>
    </row>
    <row r="6" spans="1:2" x14ac:dyDescent="0.3">
      <c r="A6">
        <v>2027</v>
      </c>
      <c r="B6">
        <v>222222222</v>
      </c>
    </row>
    <row r="7" spans="1:2" x14ac:dyDescent="0.3">
      <c r="A7">
        <v>2028</v>
      </c>
      <c r="B7">
        <v>227777778</v>
      </c>
    </row>
    <row r="8" spans="1:2" x14ac:dyDescent="0.3">
      <c r="A8">
        <v>2029</v>
      </c>
      <c r="B8">
        <v>233333333</v>
      </c>
    </row>
    <row r="9" spans="1:2" x14ac:dyDescent="0.3">
      <c r="A9">
        <v>2030</v>
      </c>
      <c r="B9">
        <v>238888889</v>
      </c>
    </row>
    <row r="10" spans="1:2" x14ac:dyDescent="0.3">
      <c r="A10">
        <v>2031</v>
      </c>
      <c r="B10">
        <v>244444444</v>
      </c>
    </row>
    <row r="11" spans="1:2" x14ac:dyDescent="0.3">
      <c r="A11">
        <v>2032</v>
      </c>
      <c r="B11">
        <v>250000000</v>
      </c>
    </row>
    <row r="12" spans="1:2" x14ac:dyDescent="0.3">
      <c r="A12">
        <v>2033</v>
      </c>
      <c r="B12">
        <v>255555556</v>
      </c>
    </row>
    <row r="13" spans="1:2" x14ac:dyDescent="0.3">
      <c r="A13">
        <v>2034</v>
      </c>
      <c r="B13">
        <v>261111111</v>
      </c>
    </row>
    <row r="14" spans="1:2" x14ac:dyDescent="0.3">
      <c r="A14">
        <v>2035</v>
      </c>
      <c r="B14">
        <v>266666667</v>
      </c>
    </row>
    <row r="15" spans="1:2" x14ac:dyDescent="0.3">
      <c r="A15">
        <v>2036</v>
      </c>
      <c r="B15">
        <v>272222222</v>
      </c>
    </row>
    <row r="16" spans="1:2" x14ac:dyDescent="0.3">
      <c r="A16">
        <v>2037</v>
      </c>
      <c r="B16">
        <v>277777778</v>
      </c>
    </row>
    <row r="17" spans="1:2" x14ac:dyDescent="0.3">
      <c r="A17">
        <v>2038</v>
      </c>
      <c r="B17">
        <v>283333333</v>
      </c>
    </row>
    <row r="18" spans="1:2" x14ac:dyDescent="0.3">
      <c r="A18">
        <v>2039</v>
      </c>
      <c r="B18">
        <v>288888889</v>
      </c>
    </row>
    <row r="19" spans="1:2" x14ac:dyDescent="0.3">
      <c r="A19">
        <v>2040</v>
      </c>
      <c r="B19">
        <v>294444444</v>
      </c>
    </row>
    <row r="20" spans="1:2" x14ac:dyDescent="0.3">
      <c r="A20">
        <v>2041</v>
      </c>
      <c r="B20">
        <v>300000000</v>
      </c>
    </row>
    <row r="21" spans="1:2" x14ac:dyDescent="0.3">
      <c r="A21">
        <v>2042</v>
      </c>
      <c r="B21">
        <v>305555556</v>
      </c>
    </row>
    <row r="22" spans="1:2" x14ac:dyDescent="0.3">
      <c r="A22">
        <v>2043</v>
      </c>
      <c r="B22">
        <v>311111111</v>
      </c>
    </row>
    <row r="23" spans="1:2" x14ac:dyDescent="0.3">
      <c r="A23">
        <v>2044</v>
      </c>
      <c r="B23">
        <v>316666667</v>
      </c>
    </row>
    <row r="24" spans="1:2" x14ac:dyDescent="0.3">
      <c r="A24">
        <v>2045</v>
      </c>
      <c r="B24">
        <v>322222222</v>
      </c>
    </row>
    <row r="25" spans="1:2" x14ac:dyDescent="0.3">
      <c r="A25">
        <v>2046</v>
      </c>
      <c r="B25">
        <v>327777778</v>
      </c>
    </row>
    <row r="26" spans="1:2" x14ac:dyDescent="0.3">
      <c r="A26">
        <v>2047</v>
      </c>
      <c r="B26">
        <v>333333333</v>
      </c>
    </row>
    <row r="27" spans="1:2" x14ac:dyDescent="0.3">
      <c r="A27">
        <v>2048</v>
      </c>
      <c r="B27">
        <v>338888889</v>
      </c>
    </row>
    <row r="28" spans="1:2" x14ac:dyDescent="0.3">
      <c r="A28">
        <v>2049</v>
      </c>
      <c r="B28">
        <v>344444444</v>
      </c>
    </row>
    <row r="29" spans="1:2" x14ac:dyDescent="0.3">
      <c r="A29">
        <v>2050</v>
      </c>
      <c r="B29">
        <v>350000000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6"/>
  <sheetViews>
    <sheetView workbookViewId="0">
      <selection activeCell="H5" sqref="H5"/>
    </sheetView>
  </sheetViews>
  <sheetFormatPr defaultRowHeight="14.4" x14ac:dyDescent="0.3"/>
  <cols>
    <col min="1" max="1" width="14" customWidth="1"/>
    <col min="2" max="2" width="8" customWidth="1"/>
    <col min="3" max="3" width="18" customWidth="1"/>
    <col min="4" max="4" width="95" customWidth="1"/>
  </cols>
  <sheetData>
    <row r="1" spans="1:4" x14ac:dyDescent="0.3">
      <c r="A1" s="4" t="s">
        <v>36</v>
      </c>
      <c r="B1" s="4" t="s">
        <v>65</v>
      </c>
      <c r="C1" s="4" t="s">
        <v>47</v>
      </c>
      <c r="D1" s="4" t="s">
        <v>66</v>
      </c>
    </row>
    <row r="2" spans="1:4" x14ac:dyDescent="0.3">
      <c r="A2" s="5" t="s">
        <v>39</v>
      </c>
      <c r="B2" s="5" t="s">
        <v>67</v>
      </c>
      <c r="C2" s="6">
        <f>[1]EE_por_UF!J5</f>
        <v>24.432975786579298</v>
      </c>
      <c r="D2" s="7" t="str">
        <f>IF([1]EE_por_UF!K5="","ANEEL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3" spans="1:4" x14ac:dyDescent="0.3">
      <c r="A3" s="5" t="s">
        <v>39</v>
      </c>
      <c r="B3" s="5" t="s">
        <v>68</v>
      </c>
      <c r="C3" s="6">
        <f>[1]EE_por_UF!J6</f>
        <v>30.929157247701209</v>
      </c>
      <c r="D3" s="7" t="str">
        <f>IF([1]EE_por_UF!K6="","ANEEL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4" spans="1:4" x14ac:dyDescent="0.3">
      <c r="A4" s="5" t="s">
        <v>39</v>
      </c>
      <c r="B4" s="5" t="s">
        <v>69</v>
      </c>
      <c r="C4" s="6">
        <f>[1]EE_por_UF!J7</f>
        <v>36.820220463669912</v>
      </c>
      <c r="D4" s="7" t="str">
        <f>IF([1]EE_por_UF!K7="","ANEEL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5" spans="1:4" x14ac:dyDescent="0.3">
      <c r="A5" s="5" t="s">
        <v>39</v>
      </c>
      <c r="B5" s="5" t="s">
        <v>70</v>
      </c>
      <c r="C5" s="6">
        <f>[1]EE_por_UF!J8</f>
        <v>29.359478348679328</v>
      </c>
      <c r="D5" s="7" t="str">
        <f>IF([1]EE_por_UF!K8="","ANEEL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6" spans="1:4" x14ac:dyDescent="0.3">
      <c r="A6" s="5" t="s">
        <v>39</v>
      </c>
      <c r="B6" s="5" t="s">
        <v>71</v>
      </c>
      <c r="C6" s="6">
        <f>[1]EE_por_UF!J9</f>
        <v>28.221570261697355</v>
      </c>
      <c r="D6" s="7" t="str">
        <f>IF([1]EE_por_UF!K9="","ANEEL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7" spans="1:4" x14ac:dyDescent="0.3">
      <c r="A7" s="5" t="s">
        <v>39</v>
      </c>
      <c r="B7" s="5" t="s">
        <v>72</v>
      </c>
      <c r="C7" s="6">
        <f>[1]EE_por_UF!J10</f>
        <v>25.120380752519686</v>
      </c>
      <c r="D7" s="7" t="str">
        <f>IF([1]EE_por_UF!K10="","ANEEL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8" spans="1:4" x14ac:dyDescent="0.3">
      <c r="A8" s="5" t="s">
        <v>39</v>
      </c>
      <c r="B8" s="5" t="s">
        <v>73</v>
      </c>
      <c r="C8" s="6">
        <f>[1]EE_por_UF!J11</f>
        <v>34.21652014442958</v>
      </c>
      <c r="D8" s="7" t="str">
        <f>IF([1]EE_por_UF!K11="","ANEEL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9" spans="1:4" x14ac:dyDescent="0.3">
      <c r="A9" s="5" t="s">
        <v>39</v>
      </c>
      <c r="B9" s="5" t="s">
        <v>74</v>
      </c>
      <c r="C9" s="6">
        <f>[1]EE_por_UF!J12</f>
        <v>29.508836817228747</v>
      </c>
      <c r="D9" s="7" t="str">
        <f>IF([1]EE_por_UF!K12="","ANEEL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0" spans="1:4" x14ac:dyDescent="0.3">
      <c r="A10" s="5" t="s">
        <v>39</v>
      </c>
      <c r="B10" s="5" t="s">
        <v>75</v>
      </c>
      <c r="C10" s="6">
        <f>[1]EE_por_UF!J13</f>
        <v>26.458341141941396</v>
      </c>
      <c r="D10" s="7" t="str">
        <f>IF([1]EE_por_UF!K13="","ANEEL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1" spans="1:4" x14ac:dyDescent="0.3">
      <c r="A11" s="5" t="s">
        <v>39</v>
      </c>
      <c r="B11" s="5" t="s">
        <v>76</v>
      </c>
      <c r="C11" s="6">
        <f>[1]EE_por_UF!J14</f>
        <v>24.021002464036624</v>
      </c>
      <c r="D11" s="7" t="str">
        <f>IF([1]EE_por_UF!K14="","ANEEL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2" spans="1:4" x14ac:dyDescent="0.3">
      <c r="A12" s="5" t="s">
        <v>39</v>
      </c>
      <c r="B12" s="5" t="s">
        <v>77</v>
      </c>
      <c r="C12" s="6">
        <f>[1]EE_por_UF!J15</f>
        <v>30.406573179224697</v>
      </c>
      <c r="D12" s="7" t="str">
        <f>IF([1]EE_por_UF!K15="","ANEEL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3" spans="1:4" x14ac:dyDescent="0.3">
      <c r="A13" s="5" t="s">
        <v>39</v>
      </c>
      <c r="B13" s="5" t="s">
        <v>78</v>
      </c>
      <c r="C13" s="6">
        <f>[1]EE_por_UF!J16</f>
        <v>31.73135017792416</v>
      </c>
      <c r="D13" s="7" t="str">
        <f>IF([1]EE_por_UF!K16="","ANEEL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4" spans="1:4" x14ac:dyDescent="0.3">
      <c r="A14" s="5" t="s">
        <v>39</v>
      </c>
      <c r="B14" s="5" t="s">
        <v>79</v>
      </c>
      <c r="C14" s="6">
        <f>[1]EE_por_UF!J17</f>
        <v>33.060459182195423</v>
      </c>
      <c r="D14" s="7" t="str">
        <f>IF([1]EE_por_UF!K17="","ANEEL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5" spans="1:4" x14ac:dyDescent="0.3">
      <c r="A15" s="5" t="s">
        <v>39</v>
      </c>
      <c r="B15" s="5" t="s">
        <v>80</v>
      </c>
      <c r="C15" s="6">
        <f>[1]EE_por_UF!J18</f>
        <v>31.436797220793125</v>
      </c>
      <c r="D15" s="7" t="str">
        <f>IF([1]EE_por_UF!K18="","ANEEL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6" spans="1:4" x14ac:dyDescent="0.3">
      <c r="A16" s="5" t="s">
        <v>39</v>
      </c>
      <c r="B16" s="5" t="s">
        <v>81</v>
      </c>
      <c r="C16" s="6">
        <f>[1]EE_por_UF!J19</f>
        <v>21.688882437683297</v>
      </c>
      <c r="D16" s="7" t="str">
        <f>IF([1]EE_por_UF!K19="","ANEEL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7" spans="1:4" x14ac:dyDescent="0.3">
      <c r="A17" s="5" t="s">
        <v>39</v>
      </c>
      <c r="B17" s="5" t="s">
        <v>82</v>
      </c>
      <c r="C17" s="6">
        <f>[1]EE_por_UF!J20</f>
        <v>29.38125344861859</v>
      </c>
      <c r="D17" s="7" t="str">
        <f>IF([1]EE_por_UF!K20="","ANEEL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8" spans="1:4" x14ac:dyDescent="0.3">
      <c r="A18" s="5" t="s">
        <v>39</v>
      </c>
      <c r="B18" s="5" t="s">
        <v>83</v>
      </c>
      <c r="C18" s="6">
        <f>[1]EE_por_UF!J21</f>
        <v>25.563636369176116</v>
      </c>
      <c r="D18" s="7" t="str">
        <f>IF([1]EE_por_UF!K21="","ANEEL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19" spans="1:4" x14ac:dyDescent="0.3">
      <c r="A19" s="5" t="s">
        <v>39</v>
      </c>
      <c r="B19" s="5" t="s">
        <v>84</v>
      </c>
      <c r="C19" s="6">
        <f>[1]EE_por_UF!J22</f>
        <v>27.106759076072652</v>
      </c>
      <c r="D19" s="7" t="str">
        <f>IF([1]EE_por_UF!K22="","ANEEL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0" spans="1:4" x14ac:dyDescent="0.3">
      <c r="A20" s="5" t="s">
        <v>39</v>
      </c>
      <c r="B20" s="5" t="s">
        <v>85</v>
      </c>
      <c r="C20" s="6">
        <f>[1]EE_por_UF!J23</f>
        <v>34.266349919380623</v>
      </c>
      <c r="D20" s="7" t="str">
        <f>IF([1]EE_por_UF!K23="","ANEEL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1" spans="1:4" x14ac:dyDescent="0.3">
      <c r="A21" s="5" t="s">
        <v>39</v>
      </c>
      <c r="B21" s="5" t="s">
        <v>86</v>
      </c>
      <c r="C21" s="6">
        <f>[1]EE_por_UF!J24</f>
        <v>29.207317416722859</v>
      </c>
      <c r="D21" s="7" t="str">
        <f>IF([1]EE_por_UF!K24="","ANEEL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2" spans="1:4" x14ac:dyDescent="0.3">
      <c r="A22" s="5" t="s">
        <v>39</v>
      </c>
      <c r="B22" s="5" t="s">
        <v>87</v>
      </c>
      <c r="C22" s="6">
        <f>[1]EE_por_UF!J25</f>
        <v>24.966137321410816</v>
      </c>
      <c r="D22" s="7" t="str">
        <f>IF([1]EE_por_UF!K25="","ANEEL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3" spans="1:4" x14ac:dyDescent="0.3">
      <c r="A23" s="5" t="s">
        <v>39</v>
      </c>
      <c r="B23" s="5" t="s">
        <v>88</v>
      </c>
      <c r="C23" s="6">
        <f>[1]EE_por_UF!J26</f>
        <v>28.524189466156596</v>
      </c>
      <c r="D23" s="7" t="str">
        <f>IF([1]EE_por_UF!K26="","ANEEL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4" spans="1:4" x14ac:dyDescent="0.3">
      <c r="A24" s="5" t="s">
        <v>39</v>
      </c>
      <c r="B24" s="5" t="s">
        <v>89</v>
      </c>
      <c r="C24" s="6">
        <f>[1]EE_por_UF!J27</f>
        <v>27.704007612937467</v>
      </c>
      <c r="D24" s="7" t="str">
        <f>IF([1]EE_por_UF!K27="","ANEEL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5" spans="1:4" x14ac:dyDescent="0.3">
      <c r="A25" s="5" t="s">
        <v>39</v>
      </c>
      <c r="B25" s="5" t="s">
        <v>90</v>
      </c>
      <c r="C25" s="6">
        <f>[1]EE_por_UF!J28</f>
        <v>28.119116395084177</v>
      </c>
      <c r="D25" s="7" t="str">
        <f>IF([1]EE_por_UF!K28="","ANEEL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6" spans="1:4" x14ac:dyDescent="0.3">
      <c r="A26" s="5" t="s">
        <v>39</v>
      </c>
      <c r="B26" s="5" t="s">
        <v>91</v>
      </c>
      <c r="C26" s="6">
        <f>[1]EE_por_UF!J29</f>
        <v>24.198989440493847</v>
      </c>
      <c r="D26" s="7" t="str">
        <f>IF([1]EE_por_UF!K29="","ANEEL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7" spans="1:4" x14ac:dyDescent="0.3">
      <c r="A27" s="5" t="s">
        <v>39</v>
      </c>
      <c r="B27" s="5" t="s">
        <v>92</v>
      </c>
      <c r="C27" s="6">
        <f>[1]EE_por_UF!J30</f>
        <v>27.398678410070218</v>
      </c>
      <c r="D27" s="7" t="str">
        <f>IF([1]EE_por_UF!K30="","ANEEL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8" spans="1:4" x14ac:dyDescent="0.3">
      <c r="A28" s="5" t="s">
        <v>39</v>
      </c>
      <c r="B28" s="5" t="s">
        <v>93</v>
      </c>
      <c r="C28" s="6">
        <f>[1]EE_por_UF!J31</f>
        <v>26.474068338474254</v>
      </c>
      <c r="D28" s="7" t="str">
        <f>IF([1]EE_por_UF!K31="","ANEEL A4 verde fora ponta TUSD+TE + demanda, tributos: "&amp;[1]Premissas!$C$19&amp;", ano-base "&amp;[1]Premissas!$C$6,"Sem distribuidora atribuida a esta UF — media nacional. VERIFICAR mapeamento em EE_ANEEL.")</f>
        <v>ANEEL A4 verde fora ponta TUSD+TE + demanda, tributos: COM, ano-base 2024</v>
      </c>
    </row>
    <row r="29" spans="1:4" x14ac:dyDescent="0.3">
      <c r="A29" s="5" t="s">
        <v>40</v>
      </c>
      <c r="B29" s="5" t="s">
        <v>67</v>
      </c>
      <c r="C29" s="6">
        <f>[1]GN_por_UF!F5</f>
        <v>19.125598721917218</v>
      </c>
      <c r="D29" s="7" t="str">
        <f>IF([1]GN_por_UF!G5="","Boletim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0" spans="1:4" x14ac:dyDescent="0.3">
      <c r="A30" s="5" t="s">
        <v>40</v>
      </c>
      <c r="B30" s="5" t="s">
        <v>68</v>
      </c>
      <c r="C30" s="6">
        <f>[1]GN_por_UF!F6</f>
        <v>18.030099033788304</v>
      </c>
      <c r="D30" s="7" t="str">
        <f>IF([1]GN_por_UF!G6="","Boletim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1" spans="1:4" x14ac:dyDescent="0.3">
      <c r="A31" s="5" t="s">
        <v>40</v>
      </c>
      <c r="B31" s="5" t="s">
        <v>69</v>
      </c>
      <c r="C31" s="6">
        <f>[1]GN_por_UF!F7</f>
        <v>16.090151669393361</v>
      </c>
      <c r="D31" s="7" t="str">
        <f>IF([1]GN_por_UF!G7="","Boletim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2" spans="1:4" x14ac:dyDescent="0.3">
      <c r="A32" s="5" t="s">
        <v>40</v>
      </c>
      <c r="B32" s="5" t="s">
        <v>70</v>
      </c>
      <c r="C32" s="6">
        <f>[1]GN_por_UF!F8</f>
        <v>19.125598721917218</v>
      </c>
      <c r="D32" s="7" t="str">
        <f>IF([1]GN_por_UF!G8="","Boletim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3" spans="1:4" x14ac:dyDescent="0.3">
      <c r="A33" s="5" t="s">
        <v>40</v>
      </c>
      <c r="B33" s="5" t="s">
        <v>71</v>
      </c>
      <c r="C33" s="6">
        <f>[1]GN_por_UF!F9</f>
        <v>15.177235262619272</v>
      </c>
      <c r="D33" s="7" t="str">
        <f>IF([1]GN_por_UF!G9="","Boletim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4" spans="1:4" x14ac:dyDescent="0.3">
      <c r="A34" s="5" t="s">
        <v>40</v>
      </c>
      <c r="B34" s="5" t="s">
        <v>72</v>
      </c>
      <c r="C34" s="6">
        <f>[1]GN_por_UF!F10</f>
        <v>21.339421008344388</v>
      </c>
      <c r="D34" s="7" t="str">
        <f>IF([1]GN_por_UF!G10="","Boletim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5" spans="1:4" x14ac:dyDescent="0.3">
      <c r="A35" s="5" t="s">
        <v>40</v>
      </c>
      <c r="B35" s="5" t="s">
        <v>73</v>
      </c>
      <c r="C35" s="6">
        <f>[1]GN_por_UF!F11</f>
        <v>19.125598721917218</v>
      </c>
      <c r="D35" s="7" t="str">
        <f>IF([1]GN_por_UF!G11="","Boletim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6" spans="1:4" x14ac:dyDescent="0.3">
      <c r="A36" s="5" t="s">
        <v>40</v>
      </c>
      <c r="B36" s="5" t="s">
        <v>74</v>
      </c>
      <c r="C36" s="6">
        <f>[1]GN_por_UF!F12</f>
        <v>18.943015440562398</v>
      </c>
      <c r="D36" s="7" t="str">
        <f>IF([1]GN_por_UF!G12="","Boletim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37" spans="1:4" x14ac:dyDescent="0.3">
      <c r="A37" s="5" t="s">
        <v>40</v>
      </c>
      <c r="B37" s="5" t="s">
        <v>75</v>
      </c>
      <c r="C37" s="6">
        <f>[1]GN_por_UF!F13</f>
        <v>19.125598721917218</v>
      </c>
      <c r="D37" s="7" t="str">
        <f>IF([1]GN_por_UF!G13="","Boletim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8" spans="1:4" x14ac:dyDescent="0.3">
      <c r="A38" s="5" t="s">
        <v>40</v>
      </c>
      <c r="B38" s="5" t="s">
        <v>76</v>
      </c>
      <c r="C38" s="6">
        <f>[1]GN_por_UF!F14</f>
        <v>19.125598721917218</v>
      </c>
      <c r="D38" s="7" t="str">
        <f>IF([1]GN_por_UF!G14="","Boletim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39" spans="1:4" x14ac:dyDescent="0.3">
      <c r="A39" s="5" t="s">
        <v>40</v>
      </c>
      <c r="B39" s="5" t="s">
        <v>77</v>
      </c>
      <c r="C39" s="6">
        <f>[1]GN_por_UF!F15</f>
        <v>17.687755381248021</v>
      </c>
      <c r="D39" s="7" t="str">
        <f>IF([1]GN_por_UF!G15="","Boletim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0" spans="1:4" x14ac:dyDescent="0.3">
      <c r="A40" s="5" t="s">
        <v>40</v>
      </c>
      <c r="B40" s="5" t="s">
        <v>78</v>
      </c>
      <c r="C40" s="6">
        <f>[1]GN_por_UF!F16</f>
        <v>19.057129991409159</v>
      </c>
      <c r="D40" s="7" t="str">
        <f>IF([1]GN_por_UF!G16="","Boletim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1" spans="1:4" x14ac:dyDescent="0.3">
      <c r="A41" s="5" t="s">
        <v>40</v>
      </c>
      <c r="B41" s="5" t="s">
        <v>79</v>
      </c>
      <c r="C41" s="6">
        <f>[1]GN_por_UF!F17</f>
        <v>19.125598721917218</v>
      </c>
      <c r="D41" s="7" t="str">
        <f>IF([1]GN_por_UF!G17="","Boletim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2" spans="1:4" x14ac:dyDescent="0.3">
      <c r="A42" s="5" t="s">
        <v>40</v>
      </c>
      <c r="B42" s="5" t="s">
        <v>80</v>
      </c>
      <c r="C42" s="6">
        <f>[1]GN_por_UF!F18</f>
        <v>19.125598721917218</v>
      </c>
      <c r="D42" s="7" t="str">
        <f>IF([1]GN_por_UF!G18="","Boletim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3" spans="1:4" x14ac:dyDescent="0.3">
      <c r="A43" s="5" t="s">
        <v>40</v>
      </c>
      <c r="B43" s="5" t="s">
        <v>81</v>
      </c>
      <c r="C43" s="6">
        <f>[1]GN_por_UF!F19</f>
        <v>20.084160949030018</v>
      </c>
      <c r="D43" s="7" t="str">
        <f>IF([1]GN_por_UF!G19="","Boletim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4" spans="1:4" x14ac:dyDescent="0.3">
      <c r="A44" s="5" t="s">
        <v>40</v>
      </c>
      <c r="B44" s="5" t="s">
        <v>82</v>
      </c>
      <c r="C44" s="6">
        <f>[1]GN_por_UF!F20</f>
        <v>18.828900889715641</v>
      </c>
      <c r="D44" s="7" t="str">
        <f>IF([1]GN_por_UF!G20="","Boletim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5" spans="1:4" x14ac:dyDescent="0.3">
      <c r="A45" s="5" t="s">
        <v>40</v>
      </c>
      <c r="B45" s="5" t="s">
        <v>83</v>
      </c>
      <c r="C45" s="6">
        <f>[1]GN_por_UF!F21</f>
        <v>19.125598721917218</v>
      </c>
      <c r="D45" s="7" t="str">
        <f>IF([1]GN_por_UF!G21="","Boletim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46" spans="1:4" x14ac:dyDescent="0.3">
      <c r="A46" s="5" t="s">
        <v>40</v>
      </c>
      <c r="B46" s="5" t="s">
        <v>84</v>
      </c>
      <c r="C46" s="6">
        <f>[1]GN_por_UF!F22</f>
        <v>19.285359093102681</v>
      </c>
      <c r="D46" s="7" t="str">
        <f>IF([1]GN_por_UF!G22="","Boletim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7" spans="1:4" x14ac:dyDescent="0.3">
      <c r="A47" s="5" t="s">
        <v>40</v>
      </c>
      <c r="B47" s="5" t="s">
        <v>85</v>
      </c>
      <c r="C47" s="6">
        <f>[1]GN_por_UF!F23</f>
        <v>20.654733703263819</v>
      </c>
      <c r="D47" s="7" t="str">
        <f>IF([1]GN_por_UF!G23="","Boletim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8" spans="1:4" x14ac:dyDescent="0.3">
      <c r="A48" s="5" t="s">
        <v>40</v>
      </c>
      <c r="B48" s="5" t="s">
        <v>86</v>
      </c>
      <c r="C48" s="6">
        <f>[1]GN_por_UF!F24</f>
        <v>20.198275499876775</v>
      </c>
      <c r="D48" s="7" t="str">
        <f>IF([1]GN_por_UF!G24="","Boletim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49" spans="1:4" x14ac:dyDescent="0.3">
      <c r="A49" s="5" t="s">
        <v>40</v>
      </c>
      <c r="B49" s="5" t="s">
        <v>87</v>
      </c>
      <c r="C49" s="6">
        <f>[1]GN_por_UF!F25</f>
        <v>19.125598721917218</v>
      </c>
      <c r="D49" s="7" t="str">
        <f>IF([1]GN_por_UF!G25="","Boletim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0" spans="1:4" x14ac:dyDescent="0.3">
      <c r="A50" s="5" t="s">
        <v>40</v>
      </c>
      <c r="B50" s="5" t="s">
        <v>88</v>
      </c>
      <c r="C50" s="6">
        <f>[1]GN_por_UF!F26</f>
        <v>19.125598721917218</v>
      </c>
      <c r="D50" s="7" t="str">
        <f>IF([1]GN_por_UF!G26="","Boletim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1" spans="1:4" x14ac:dyDescent="0.3">
      <c r="A51" s="5" t="s">
        <v>40</v>
      </c>
      <c r="B51" s="5" t="s">
        <v>89</v>
      </c>
      <c r="C51" s="6">
        <f>[1]GN_por_UF!F27</f>
        <v>20.654733703263819</v>
      </c>
      <c r="D51" s="7" t="str">
        <f>IF([1]GN_por_UF!G27="","Boletim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2" spans="1:4" x14ac:dyDescent="0.3">
      <c r="A52" s="5" t="s">
        <v>40</v>
      </c>
      <c r="B52" s="5" t="s">
        <v>90</v>
      </c>
      <c r="C52" s="6">
        <f>[1]GN_por_UF!F28</f>
        <v>19.171244542255923</v>
      </c>
      <c r="D52" s="7" t="str">
        <f>IF([1]GN_por_UF!G28="","Boletim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3" spans="1:4" x14ac:dyDescent="0.3">
      <c r="A53" s="5" t="s">
        <v>40</v>
      </c>
      <c r="B53" s="5" t="s">
        <v>91</v>
      </c>
      <c r="C53" s="6">
        <f>[1]GN_por_UF!F29</f>
        <v>19.855931847336493</v>
      </c>
      <c r="D53" s="7" t="str">
        <f>IF([1]GN_por_UF!G29="","Boletim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4" spans="1:4" x14ac:dyDescent="0.3">
      <c r="A54" s="5" t="s">
        <v>40</v>
      </c>
      <c r="B54" s="5" t="s">
        <v>92</v>
      </c>
      <c r="C54" s="6">
        <f>[1]GN_por_UF!F30</f>
        <v>19.323397276718271</v>
      </c>
      <c r="D54" s="7" t="str">
        <f>IF([1]GN_por_UF!G30="","Boletim do Gas MME, industrial, metodo da razao (estrutura dez + nivel media anual), base PCI, ano-base "&amp;[1]Premissas!$C$6,"UF sem distribuidora de gas com movimentacao — media nacional. Candidata a exclusao de DR-NG por criterio de infraestrutura.")</f>
        <v>Boletim do Gas MME, industrial, metodo da razao (estrutura dez + nivel media anual), base PCI, ano-base 2024</v>
      </c>
    </row>
    <row r="55" spans="1:4" x14ac:dyDescent="0.3">
      <c r="A55" s="5" t="s">
        <v>40</v>
      </c>
      <c r="B55" s="5" t="s">
        <v>93</v>
      </c>
      <c r="C55" s="6">
        <f>[1]GN_por_UF!F31</f>
        <v>19.125598721917218</v>
      </c>
      <c r="D55" s="7" t="str">
        <f>IF([1]GN_por_UF!G31="","Boletim do Gas MME, industrial, metodo da razao (estrutura dez + nivel media anual), base PCI, ano-base "&amp;[1]Premissas!$C$6,"UF sem distribuidora de gas com movimentacao — media nacional. Candidata a exclusao de DR-NG por criterio de infraestrutura.")</f>
        <v>UF sem distribuidora de gas com movimentacao — media nacional. Candidata a exclusao de DR-NG por criterio de infraestrutura.</v>
      </c>
    </row>
    <row r="56" spans="1:4" x14ac:dyDescent="0.3">
      <c r="A56" s="2" t="s">
        <v>38</v>
      </c>
      <c r="B56" s="2" t="s">
        <v>67</v>
      </c>
      <c r="C56" s="3">
        <f>[1]CM_por_UF!D5</f>
        <v>6.3954263287481519</v>
      </c>
      <c r="D56" s="2" t="s">
        <v>105</v>
      </c>
    </row>
    <row r="57" spans="1:4" x14ac:dyDescent="0.3">
      <c r="A57" s="2" t="s">
        <v>38</v>
      </c>
      <c r="B57" s="2" t="s">
        <v>68</v>
      </c>
      <c r="C57" s="3">
        <f>[1]CM_por_UF!D6</f>
        <v>6.3954263287481519</v>
      </c>
      <c r="D57" s="2" t="s">
        <v>105</v>
      </c>
    </row>
    <row r="58" spans="1:4" x14ac:dyDescent="0.3">
      <c r="A58" s="2" t="s">
        <v>38</v>
      </c>
      <c r="B58" s="2" t="s">
        <v>69</v>
      </c>
      <c r="C58" s="3">
        <f>[1]CM_por_UF!D7</f>
        <v>6.3954263287481519</v>
      </c>
      <c r="D58" s="2" t="s">
        <v>105</v>
      </c>
    </row>
    <row r="59" spans="1:4" x14ac:dyDescent="0.3">
      <c r="A59" s="2" t="s">
        <v>38</v>
      </c>
      <c r="B59" s="2" t="s">
        <v>70</v>
      </c>
      <c r="C59" s="3">
        <f>[1]CM_por_UF!D8</f>
        <v>6.3954263287481519</v>
      </c>
      <c r="D59" s="2" t="s">
        <v>105</v>
      </c>
    </row>
    <row r="60" spans="1:4" x14ac:dyDescent="0.3">
      <c r="A60" s="2" t="s">
        <v>38</v>
      </c>
      <c r="B60" s="2" t="s">
        <v>71</v>
      </c>
      <c r="C60" s="3">
        <f>[1]CM_por_UF!D9</f>
        <v>6.3954263287481519</v>
      </c>
      <c r="D60" s="2" t="s">
        <v>105</v>
      </c>
    </row>
    <row r="61" spans="1:4" x14ac:dyDescent="0.3">
      <c r="A61" s="2" t="s">
        <v>38</v>
      </c>
      <c r="B61" s="2" t="s">
        <v>72</v>
      </c>
      <c r="C61" s="3">
        <f>[1]CM_por_UF!D10</f>
        <v>6.3954263287481519</v>
      </c>
      <c r="D61" s="2" t="s">
        <v>105</v>
      </c>
    </row>
    <row r="62" spans="1:4" x14ac:dyDescent="0.3">
      <c r="A62" s="2" t="s">
        <v>38</v>
      </c>
      <c r="B62" s="2" t="s">
        <v>73</v>
      </c>
      <c r="C62" s="3">
        <f>[1]CM_por_UF!D11</f>
        <v>6.3954263287481519</v>
      </c>
      <c r="D62" s="2" t="s">
        <v>105</v>
      </c>
    </row>
    <row r="63" spans="1:4" x14ac:dyDescent="0.3">
      <c r="A63" s="2" t="s">
        <v>38</v>
      </c>
      <c r="B63" s="2" t="s">
        <v>74</v>
      </c>
      <c r="C63" s="3">
        <f>[1]CM_por_UF!D12</f>
        <v>6.3954263287481519</v>
      </c>
      <c r="D63" s="2" t="s">
        <v>105</v>
      </c>
    </row>
    <row r="64" spans="1:4" x14ac:dyDescent="0.3">
      <c r="A64" s="2" t="s">
        <v>38</v>
      </c>
      <c r="B64" s="2" t="s">
        <v>75</v>
      </c>
      <c r="C64" s="3">
        <f>[1]CM_por_UF!D13</f>
        <v>6.3954263287481519</v>
      </c>
      <c r="D64" s="2" t="s">
        <v>105</v>
      </c>
    </row>
    <row r="65" spans="1:4" x14ac:dyDescent="0.3">
      <c r="A65" s="2" t="s">
        <v>38</v>
      </c>
      <c r="B65" s="2" t="s">
        <v>76</v>
      </c>
      <c r="C65" s="3">
        <f>[1]CM_por_UF!D14</f>
        <v>6.3954263287481519</v>
      </c>
      <c r="D65" s="2" t="s">
        <v>105</v>
      </c>
    </row>
    <row r="66" spans="1:4" x14ac:dyDescent="0.3">
      <c r="A66" s="2" t="s">
        <v>38</v>
      </c>
      <c r="B66" s="2" t="s">
        <v>77</v>
      </c>
      <c r="C66" s="3">
        <f>[1]CM_por_UF!D15</f>
        <v>7.0379102331182537</v>
      </c>
      <c r="D66" s="2" t="s">
        <v>105</v>
      </c>
    </row>
    <row r="67" spans="1:4" x14ac:dyDescent="0.3">
      <c r="A67" s="2" t="s">
        <v>38</v>
      </c>
      <c r="B67" s="2" t="s">
        <v>78</v>
      </c>
      <c r="C67" s="3">
        <f>[1]CM_por_UF!D16</f>
        <v>6.3954263287481519</v>
      </c>
      <c r="D67" s="2" t="s">
        <v>105</v>
      </c>
    </row>
    <row r="68" spans="1:4" x14ac:dyDescent="0.3">
      <c r="A68" s="2" t="s">
        <v>38</v>
      </c>
      <c r="B68" s="2" t="s">
        <v>79</v>
      </c>
      <c r="C68" s="3">
        <f>[1]CM_por_UF!D17</f>
        <v>6.3954263287481519</v>
      </c>
      <c r="D68" s="2" t="s">
        <v>105</v>
      </c>
    </row>
    <row r="69" spans="1:4" x14ac:dyDescent="0.3">
      <c r="A69" s="2" t="s">
        <v>38</v>
      </c>
      <c r="B69" s="2" t="s">
        <v>80</v>
      </c>
      <c r="C69" s="3">
        <f>[1]CM_por_UF!D18</f>
        <v>6.3954263287481519</v>
      </c>
      <c r="D69" s="2" t="s">
        <v>105</v>
      </c>
    </row>
    <row r="70" spans="1:4" x14ac:dyDescent="0.3">
      <c r="A70" s="2" t="s">
        <v>38</v>
      </c>
      <c r="B70" s="2" t="s">
        <v>81</v>
      </c>
      <c r="C70" s="3">
        <f>[1]CM_por_UF!D19</f>
        <v>6.3954263287481519</v>
      </c>
      <c r="D70" s="2" t="s">
        <v>105</v>
      </c>
    </row>
    <row r="71" spans="1:4" x14ac:dyDescent="0.3">
      <c r="A71" s="2" t="s">
        <v>38</v>
      </c>
      <c r="B71" s="2" t="s">
        <v>82</v>
      </c>
      <c r="C71" s="3">
        <f>[1]CM_por_UF!D20</f>
        <v>6.3954263287481519</v>
      </c>
      <c r="D71" s="2" t="s">
        <v>105</v>
      </c>
    </row>
    <row r="72" spans="1:4" x14ac:dyDescent="0.3">
      <c r="A72" s="2" t="s">
        <v>38</v>
      </c>
      <c r="B72" s="2" t="s">
        <v>83</v>
      </c>
      <c r="C72" s="3">
        <f>[1]CM_por_UF!D21</f>
        <v>6.3954263287481519</v>
      </c>
      <c r="D72" s="2" t="s">
        <v>105</v>
      </c>
    </row>
    <row r="73" spans="1:4" x14ac:dyDescent="0.3">
      <c r="A73" s="2" t="s">
        <v>38</v>
      </c>
      <c r="B73" s="2" t="s">
        <v>84</v>
      </c>
      <c r="C73" s="3">
        <f>[1]CM_por_UF!D22</f>
        <v>6.3954263287481519</v>
      </c>
      <c r="D73" s="2" t="s">
        <v>105</v>
      </c>
    </row>
    <row r="74" spans="1:4" x14ac:dyDescent="0.3">
      <c r="A74" s="2" t="s">
        <v>38</v>
      </c>
      <c r="B74" s="2" t="s">
        <v>85</v>
      </c>
      <c r="C74" s="3">
        <f>[1]CM_por_UF!D23</f>
        <v>6.4986066984327655</v>
      </c>
      <c r="D74" s="2" t="s">
        <v>105</v>
      </c>
    </row>
    <row r="75" spans="1:4" x14ac:dyDescent="0.3">
      <c r="A75" s="2" t="s">
        <v>38</v>
      </c>
      <c r="B75" s="2" t="s">
        <v>86</v>
      </c>
      <c r="C75" s="3">
        <f>[1]CM_por_UF!D24</f>
        <v>6.3954263287481519</v>
      </c>
      <c r="D75" s="2" t="s">
        <v>105</v>
      </c>
    </row>
    <row r="76" spans="1:4" x14ac:dyDescent="0.3">
      <c r="A76" s="2" t="s">
        <v>38</v>
      </c>
      <c r="B76" s="2" t="s">
        <v>87</v>
      </c>
      <c r="C76" s="3">
        <f>[1]CM_por_UF!D25</f>
        <v>6.3954263287481519</v>
      </c>
      <c r="D76" s="2" t="s">
        <v>105</v>
      </c>
    </row>
    <row r="77" spans="1:4" x14ac:dyDescent="0.3">
      <c r="A77" s="2" t="s">
        <v>38</v>
      </c>
      <c r="B77" s="2" t="s">
        <v>88</v>
      </c>
      <c r="C77" s="3">
        <f>[1]CM_por_UF!D26</f>
        <v>6.3954263287481519</v>
      </c>
      <c r="D77" s="2" t="s">
        <v>105</v>
      </c>
    </row>
    <row r="78" spans="1:4" x14ac:dyDescent="0.3">
      <c r="A78" s="2" t="s">
        <v>38</v>
      </c>
      <c r="B78" s="2" t="s">
        <v>89</v>
      </c>
      <c r="C78" s="3">
        <f>[1]CM_por_UF!D27</f>
        <v>6.3954263287481519</v>
      </c>
      <c r="D78" s="2" t="s">
        <v>105</v>
      </c>
    </row>
    <row r="79" spans="1:4" x14ac:dyDescent="0.3">
      <c r="A79" s="2" t="s">
        <v>38</v>
      </c>
      <c r="B79" s="2" t="s">
        <v>90</v>
      </c>
      <c r="C79" s="3">
        <f>[1]CM_por_UF!D28</f>
        <v>6.3954263287481519</v>
      </c>
      <c r="D79" s="2" t="s">
        <v>105</v>
      </c>
    </row>
    <row r="80" spans="1:4" x14ac:dyDescent="0.3">
      <c r="A80" s="2" t="s">
        <v>38</v>
      </c>
      <c r="B80" s="2" t="s">
        <v>91</v>
      </c>
      <c r="C80" s="3">
        <f>[1]CM_por_UF!D29</f>
        <v>6.3954263287481519</v>
      </c>
      <c r="D80" s="2" t="s">
        <v>105</v>
      </c>
    </row>
    <row r="81" spans="1:4" x14ac:dyDescent="0.3">
      <c r="A81" s="2" t="s">
        <v>38</v>
      </c>
      <c r="B81" s="2" t="s">
        <v>92</v>
      </c>
      <c r="C81" s="3">
        <f>[1]CM_por_UF!D30</f>
        <v>6.3954263287481519</v>
      </c>
      <c r="D81" s="2" t="s">
        <v>105</v>
      </c>
    </row>
    <row r="82" spans="1:4" x14ac:dyDescent="0.3">
      <c r="A82" s="2" t="s">
        <v>38</v>
      </c>
      <c r="B82" s="2" t="s">
        <v>93</v>
      </c>
      <c r="C82" s="3">
        <f>[1]CM_por_UF!D31</f>
        <v>6.3954263287481519</v>
      </c>
      <c r="D82" s="2" t="s">
        <v>105</v>
      </c>
    </row>
    <row r="83" spans="1:4" x14ac:dyDescent="0.3">
      <c r="A83" s="2" t="s">
        <v>43</v>
      </c>
      <c r="B83" s="2" t="s">
        <v>67</v>
      </c>
      <c r="C83" s="3">
        <f>[1]Diesel_por_UF!D5</f>
        <v>26.590946592596666</v>
      </c>
      <c r="D83" s="2" t="s">
        <v>106</v>
      </c>
    </row>
    <row r="84" spans="1:4" x14ac:dyDescent="0.3">
      <c r="A84" s="2" t="s">
        <v>43</v>
      </c>
      <c r="B84" s="2" t="s">
        <v>68</v>
      </c>
      <c r="C84" s="3">
        <f>[1]Diesel_por_UF!D6</f>
        <v>21.908035861613769</v>
      </c>
      <c r="D84" s="2" t="s">
        <v>106</v>
      </c>
    </row>
    <row r="85" spans="1:4" x14ac:dyDescent="0.3">
      <c r="A85" s="2" t="s">
        <v>43</v>
      </c>
      <c r="B85" s="2" t="s">
        <v>69</v>
      </c>
      <c r="C85" s="3">
        <f>[1]Diesel_por_UF!D7</f>
        <v>22.811946537594185</v>
      </c>
      <c r="D85" s="2" t="s">
        <v>106</v>
      </c>
    </row>
    <row r="86" spans="1:4" x14ac:dyDescent="0.3">
      <c r="A86" s="2" t="s">
        <v>43</v>
      </c>
      <c r="B86" s="2" t="s">
        <v>70</v>
      </c>
      <c r="C86" s="3">
        <f>[1]Diesel_por_UF!D8</f>
        <v>23.476266431989437</v>
      </c>
      <c r="D86" s="2" t="s">
        <v>106</v>
      </c>
    </row>
    <row r="87" spans="1:4" x14ac:dyDescent="0.3">
      <c r="A87" s="2" t="s">
        <v>43</v>
      </c>
      <c r="B87" s="2" t="s">
        <v>71</v>
      </c>
      <c r="C87" s="3">
        <f>[1]Diesel_por_UF!D9</f>
        <v>21.566800506022766</v>
      </c>
      <c r="D87" s="2" t="s">
        <v>106</v>
      </c>
    </row>
    <row r="88" spans="1:4" x14ac:dyDescent="0.3">
      <c r="A88" s="2" t="s">
        <v>43</v>
      </c>
      <c r="B88" s="2" t="s">
        <v>72</v>
      </c>
      <c r="C88" s="3">
        <f>[1]Diesel_por_UF!D10</f>
        <v>22.401738078213516</v>
      </c>
      <c r="D88" s="2" t="s">
        <v>106</v>
      </c>
    </row>
    <row r="89" spans="1:4" x14ac:dyDescent="0.3">
      <c r="A89" s="2" t="s">
        <v>43</v>
      </c>
      <c r="B89" s="2" t="s">
        <v>73</v>
      </c>
      <c r="C89" s="3">
        <f>[1]Diesel_por_UF!D11</f>
        <v>21.156592046642096</v>
      </c>
      <c r="D89" s="2" t="s">
        <v>106</v>
      </c>
    </row>
    <row r="90" spans="1:4" x14ac:dyDescent="0.3">
      <c r="A90" s="2" t="s">
        <v>43</v>
      </c>
      <c r="B90" s="2" t="s">
        <v>74</v>
      </c>
      <c r="C90" s="3">
        <f>[1]Diesel_por_UF!D12</f>
        <v>21.356251031296402</v>
      </c>
      <c r="D90" s="2" t="s">
        <v>106</v>
      </c>
    </row>
    <row r="91" spans="1:4" x14ac:dyDescent="0.3">
      <c r="A91" s="2" t="s">
        <v>43</v>
      </c>
      <c r="B91" s="2" t="s">
        <v>75</v>
      </c>
      <c r="C91" s="3">
        <f>[1]Diesel_por_UF!D13</f>
        <v>21.138441229855342</v>
      </c>
      <c r="D91" s="2" t="s">
        <v>106</v>
      </c>
    </row>
    <row r="92" spans="1:4" x14ac:dyDescent="0.3">
      <c r="A92" s="2" t="s">
        <v>43</v>
      </c>
      <c r="B92" s="2" t="s">
        <v>76</v>
      </c>
      <c r="C92" s="3">
        <f>[1]Diesel_por_UF!D14</f>
        <v>21.09850943292448</v>
      </c>
      <c r="D92" s="2" t="s">
        <v>106</v>
      </c>
    </row>
    <row r="93" spans="1:4" x14ac:dyDescent="0.3">
      <c r="A93" s="2" t="s">
        <v>43</v>
      </c>
      <c r="B93" s="2" t="s">
        <v>77</v>
      </c>
      <c r="C93" s="3">
        <f>[1]Diesel_por_UF!D15</f>
        <v>20.982344205489245</v>
      </c>
      <c r="D93" s="2" t="s">
        <v>106</v>
      </c>
    </row>
    <row r="94" spans="1:4" x14ac:dyDescent="0.3">
      <c r="A94" s="2" t="s">
        <v>43</v>
      </c>
      <c r="B94" s="2" t="s">
        <v>78</v>
      </c>
      <c r="C94" s="3">
        <f>[1]Diesel_por_UF!D16</f>
        <v>21.541389362521311</v>
      </c>
      <c r="D94" s="2" t="s">
        <v>106</v>
      </c>
    </row>
    <row r="95" spans="1:4" x14ac:dyDescent="0.3">
      <c r="A95" s="2" t="s">
        <v>43</v>
      </c>
      <c r="B95" s="2" t="s">
        <v>79</v>
      </c>
      <c r="C95" s="3">
        <f>[1]Diesel_por_UF!D17</f>
        <v>21.900775534899068</v>
      </c>
      <c r="D95" s="2" t="s">
        <v>106</v>
      </c>
    </row>
    <row r="96" spans="1:4" x14ac:dyDescent="0.3">
      <c r="A96" s="2" t="s">
        <v>43</v>
      </c>
      <c r="B96" s="2" t="s">
        <v>80</v>
      </c>
      <c r="C96" s="3">
        <f>[1]Diesel_por_UF!D18</f>
        <v>23.011605522248502</v>
      </c>
      <c r="D96" s="2" t="s">
        <v>106</v>
      </c>
    </row>
    <row r="97" spans="1:4" x14ac:dyDescent="0.3">
      <c r="A97" s="2" t="s">
        <v>43</v>
      </c>
      <c r="B97" s="2" t="s">
        <v>81</v>
      </c>
      <c r="C97" s="3">
        <f>[1]Diesel_por_UF!D19</f>
        <v>21.007755348990699</v>
      </c>
      <c r="D97" s="2" t="s">
        <v>106</v>
      </c>
    </row>
    <row r="98" spans="1:4" x14ac:dyDescent="0.3">
      <c r="A98" s="2" t="s">
        <v>43</v>
      </c>
      <c r="B98" s="2" t="s">
        <v>82</v>
      </c>
      <c r="C98" s="3">
        <f>[1]Diesel_por_UF!D20</f>
        <v>21.918926351685823</v>
      </c>
      <c r="D98" s="2" t="s">
        <v>106</v>
      </c>
    </row>
    <row r="99" spans="1:4" x14ac:dyDescent="0.3">
      <c r="A99" s="2" t="s">
        <v>43</v>
      </c>
      <c r="B99" s="2" t="s">
        <v>83</v>
      </c>
      <c r="C99" s="3">
        <f>[1]Diesel_por_UF!D21</f>
        <v>21.414333645014022</v>
      </c>
      <c r="D99" s="2" t="s">
        <v>106</v>
      </c>
    </row>
    <row r="100" spans="1:4" x14ac:dyDescent="0.3">
      <c r="A100" s="2" t="s">
        <v>43</v>
      </c>
      <c r="B100" s="2" t="s">
        <v>84</v>
      </c>
      <c r="C100" s="3">
        <f>[1]Diesel_por_UF!D22</f>
        <v>21.145701556570042</v>
      </c>
      <c r="D100" s="2" t="s">
        <v>106</v>
      </c>
    </row>
    <row r="101" spans="1:4" x14ac:dyDescent="0.3">
      <c r="A101" s="2" t="s">
        <v>43</v>
      </c>
      <c r="B101" s="2" t="s">
        <v>85</v>
      </c>
      <c r="C101" s="3">
        <f>[1]Diesel_por_UF!D23</f>
        <v>21.592211649524227</v>
      </c>
      <c r="D101" s="2" t="s">
        <v>106</v>
      </c>
    </row>
    <row r="102" spans="1:4" x14ac:dyDescent="0.3">
      <c r="A102" s="2" t="s">
        <v>43</v>
      </c>
      <c r="B102" s="2" t="s">
        <v>86</v>
      </c>
      <c r="C102" s="3">
        <f>[1]Diesel_por_UF!D24</f>
        <v>21.900775534899068</v>
      </c>
      <c r="D102" s="2" t="s">
        <v>106</v>
      </c>
    </row>
    <row r="103" spans="1:4" x14ac:dyDescent="0.3">
      <c r="A103" s="2" t="s">
        <v>43</v>
      </c>
      <c r="B103" s="2" t="s">
        <v>87</v>
      </c>
      <c r="C103" s="3">
        <f>[1]Diesel_por_UF!D25</f>
        <v>23.675925416643747</v>
      </c>
      <c r="D103" s="2" t="s">
        <v>106</v>
      </c>
    </row>
    <row r="104" spans="1:4" x14ac:dyDescent="0.3">
      <c r="A104" s="2" t="s">
        <v>43</v>
      </c>
      <c r="B104" s="2" t="s">
        <v>88</v>
      </c>
      <c r="C104" s="3">
        <f>[1]Diesel_por_UF!D26</f>
        <v>23.817501787580436</v>
      </c>
      <c r="D104" s="2" t="s">
        <v>106</v>
      </c>
    </row>
    <row r="105" spans="1:4" x14ac:dyDescent="0.3">
      <c r="A105" s="2" t="s">
        <v>43</v>
      </c>
      <c r="B105" s="2" t="s">
        <v>89</v>
      </c>
      <c r="C105" s="3">
        <f>[1]Diesel_por_UF!D27</f>
        <v>21.675705406743301</v>
      </c>
      <c r="D105" s="2" t="s">
        <v>106</v>
      </c>
    </row>
    <row r="106" spans="1:4" x14ac:dyDescent="0.3">
      <c r="A106" s="2" t="s">
        <v>43</v>
      </c>
      <c r="B106" s="2" t="s">
        <v>90</v>
      </c>
      <c r="C106" s="3">
        <f>[1]Diesel_por_UF!D28</f>
        <v>21.559540179308065</v>
      </c>
      <c r="D106" s="2" t="s">
        <v>106</v>
      </c>
    </row>
    <row r="107" spans="1:4" x14ac:dyDescent="0.3">
      <c r="A107" s="2" t="s">
        <v>43</v>
      </c>
      <c r="B107" s="2" t="s">
        <v>91</v>
      </c>
      <c r="C107" s="3">
        <f>[1]Diesel_por_UF!D29</f>
        <v>20.583026236180626</v>
      </c>
      <c r="D107" s="2" t="s">
        <v>106</v>
      </c>
    </row>
    <row r="108" spans="1:4" x14ac:dyDescent="0.3">
      <c r="A108" s="2" t="s">
        <v>43</v>
      </c>
      <c r="B108" s="2" t="s">
        <v>92</v>
      </c>
      <c r="C108" s="3">
        <f>[1]Diesel_por_UF!D30</f>
        <v>21.486936912161042</v>
      </c>
      <c r="D108" s="2" t="s">
        <v>106</v>
      </c>
    </row>
    <row r="109" spans="1:4" x14ac:dyDescent="0.3">
      <c r="A109" s="2" t="s">
        <v>43</v>
      </c>
      <c r="B109" s="2" t="s">
        <v>93</v>
      </c>
      <c r="C109" s="3">
        <f>[1]Diesel_por_UF!D31</f>
        <v>21.280017600792032</v>
      </c>
      <c r="D109" s="2" t="s">
        <v>106</v>
      </c>
    </row>
    <row r="110" spans="1:4" x14ac:dyDescent="0.3">
      <c r="A110" s="2" t="s">
        <v>46</v>
      </c>
      <c r="B110" s="2" t="s">
        <v>67</v>
      </c>
      <c r="C110" s="3">
        <f>[1]H2_por_UF!D5</f>
        <v>37.298336284551112</v>
      </c>
      <c r="D110" s="2" t="s">
        <v>107</v>
      </c>
    </row>
    <row r="111" spans="1:4" x14ac:dyDescent="0.3">
      <c r="A111" s="2" t="s">
        <v>46</v>
      </c>
      <c r="B111" s="2" t="s">
        <v>68</v>
      </c>
      <c r="C111" s="3">
        <f>[1]H2_por_UF!D6</f>
        <v>44.118186658027547</v>
      </c>
      <c r="D111" s="2" t="s">
        <v>107</v>
      </c>
    </row>
    <row r="112" spans="1:4" x14ac:dyDescent="0.3">
      <c r="A112" s="2" t="s">
        <v>46</v>
      </c>
      <c r="B112" s="2" t="s">
        <v>69</v>
      </c>
      <c r="C112" s="3">
        <f>[1]H2_por_UF!D7</f>
        <v>50.302769079876775</v>
      </c>
      <c r="D112" s="2" t="s">
        <v>107</v>
      </c>
    </row>
    <row r="113" spans="1:4" x14ac:dyDescent="0.3">
      <c r="A113" s="2" t="s">
        <v>46</v>
      </c>
      <c r="B113" s="2" t="s">
        <v>70</v>
      </c>
      <c r="C113" s="3">
        <f>[1]H2_por_UF!D8</f>
        <v>42.470299312238453</v>
      </c>
      <c r="D113" s="2" t="s">
        <v>107</v>
      </c>
    </row>
    <row r="114" spans="1:4" x14ac:dyDescent="0.3">
      <c r="A114" s="2" t="s">
        <v>46</v>
      </c>
      <c r="B114" s="2" t="s">
        <v>71</v>
      </c>
      <c r="C114" s="3">
        <f>[1]H2_por_UF!D9</f>
        <v>41.275695537939697</v>
      </c>
      <c r="D114" s="2" t="s">
        <v>107</v>
      </c>
    </row>
    <row r="115" spans="1:4" x14ac:dyDescent="0.3">
      <c r="A115" s="2" t="s">
        <v>46</v>
      </c>
      <c r="B115" s="2" t="s">
        <v>72</v>
      </c>
      <c r="C115" s="3">
        <f>[1]H2_por_UF!D10</f>
        <v>38.019990850661159</v>
      </c>
      <c r="D115" s="2" t="s">
        <v>107</v>
      </c>
    </row>
    <row r="116" spans="1:4" x14ac:dyDescent="0.3">
      <c r="A116" s="2" t="s">
        <v>46</v>
      </c>
      <c r="B116" s="2" t="s">
        <v>73</v>
      </c>
      <c r="C116" s="3">
        <f>[1]H2_por_UF!D11</f>
        <v>47.569340726487574</v>
      </c>
      <c r="D116" s="2" t="s">
        <v>107</v>
      </c>
    </row>
    <row r="117" spans="1:4" x14ac:dyDescent="0.3">
      <c r="A117" s="2" t="s">
        <v>46</v>
      </c>
      <c r="B117" s="2" t="s">
        <v>74</v>
      </c>
      <c r="C117" s="3">
        <f>[1]H2_por_UF!D12</f>
        <v>42.627099489945117</v>
      </c>
      <c r="D117" s="2" t="s">
        <v>107</v>
      </c>
    </row>
    <row r="118" spans="1:4" x14ac:dyDescent="0.3">
      <c r="A118" s="2" t="s">
        <v>46</v>
      </c>
      <c r="B118" s="2" t="s">
        <v>75</v>
      </c>
      <c r="C118" s="3">
        <f>[1]H2_por_UF!D13</f>
        <v>39.4246144308526</v>
      </c>
      <c r="D118" s="2" t="s">
        <v>107</v>
      </c>
    </row>
    <row r="119" spans="1:4" x14ac:dyDescent="0.3">
      <c r="A119" s="2" t="s">
        <v>46</v>
      </c>
      <c r="B119" s="2" t="s">
        <v>76</v>
      </c>
      <c r="C119" s="3">
        <f>[1]H2_por_UF!D14</f>
        <v>36.865836602327057</v>
      </c>
      <c r="D119" s="2" t="s">
        <v>107</v>
      </c>
    </row>
    <row r="120" spans="1:4" x14ac:dyDescent="0.3">
      <c r="A120" s="2" t="s">
        <v>46</v>
      </c>
      <c r="B120" s="2" t="s">
        <v>77</v>
      </c>
      <c r="C120" s="3">
        <f>[1]H2_por_UF!D15</f>
        <v>43.569565106135599</v>
      </c>
      <c r="D120" s="2" t="s">
        <v>107</v>
      </c>
    </row>
    <row r="121" spans="1:4" x14ac:dyDescent="0.3">
      <c r="A121" s="2" t="s">
        <v>46</v>
      </c>
      <c r="B121" s="2" t="s">
        <v>78</v>
      </c>
      <c r="C121" s="3">
        <f>[1]H2_por_UF!D16</f>
        <v>44.960348439917837</v>
      </c>
      <c r="D121" s="2" t="s">
        <v>107</v>
      </c>
    </row>
    <row r="122" spans="1:4" x14ac:dyDescent="0.3">
      <c r="A122" s="2" t="s">
        <v>46</v>
      </c>
      <c r="B122" s="2" t="s">
        <v>79</v>
      </c>
      <c r="C122" s="3">
        <f>[1]H2_por_UF!D17</f>
        <v>46.355679619229576</v>
      </c>
      <c r="D122" s="2" t="s">
        <v>107</v>
      </c>
    </row>
    <row r="123" spans="1:4" x14ac:dyDescent="0.3">
      <c r="A123" s="2" t="s">
        <v>46</v>
      </c>
      <c r="B123" s="2" t="s">
        <v>80</v>
      </c>
      <c r="C123" s="3">
        <f>[1]H2_por_UF!D18</f>
        <v>44.651119532640401</v>
      </c>
      <c r="D123" s="2" t="s">
        <v>107</v>
      </c>
    </row>
    <row r="124" spans="1:4" x14ac:dyDescent="0.3">
      <c r="A124" s="2" t="s">
        <v>46</v>
      </c>
      <c r="B124" s="2" t="s">
        <v>81</v>
      </c>
      <c r="C124" s="3">
        <f>[1]H2_por_UF!D19</f>
        <v>34.41751989074757</v>
      </c>
      <c r="D124" s="2" t="s">
        <v>107</v>
      </c>
    </row>
    <row r="125" spans="1:4" x14ac:dyDescent="0.3">
      <c r="A125" s="2" t="s">
        <v>46</v>
      </c>
      <c r="B125" s="2" t="s">
        <v>82</v>
      </c>
      <c r="C125" s="3">
        <f>[1]H2_por_UF!D20</f>
        <v>42.493159345373613</v>
      </c>
      <c r="D125" s="2" t="s">
        <v>107</v>
      </c>
    </row>
    <row r="126" spans="1:4" x14ac:dyDescent="0.3">
      <c r="A126" s="2" t="s">
        <v>46</v>
      </c>
      <c r="B126" s="2" t="s">
        <v>83</v>
      </c>
      <c r="C126" s="3">
        <f>[1]H2_por_UF!D21</f>
        <v>38.485331451272678</v>
      </c>
      <c r="D126" s="2" t="s">
        <v>107</v>
      </c>
    </row>
    <row r="127" spans="1:4" x14ac:dyDescent="0.3">
      <c r="A127" s="2" t="s">
        <v>46</v>
      </c>
      <c r="B127" s="2" t="s">
        <v>84</v>
      </c>
      <c r="C127" s="3">
        <f>[1]H2_por_UF!D22</f>
        <v>40.105339456272404</v>
      </c>
      <c r="D127" s="2" t="s">
        <v>107</v>
      </c>
    </row>
    <row r="128" spans="1:4" x14ac:dyDescent="0.3">
      <c r="A128" s="2" t="s">
        <v>46</v>
      </c>
      <c r="B128" s="2" t="s">
        <v>85</v>
      </c>
      <c r="C128" s="3">
        <f>[1]H2_por_UF!D23</f>
        <v>47.621653244440459</v>
      </c>
      <c r="D128" s="2" t="s">
        <v>107</v>
      </c>
    </row>
    <row r="129" spans="1:4" x14ac:dyDescent="0.3">
      <c r="A129" s="2" t="s">
        <v>46</v>
      </c>
      <c r="B129" s="2" t="s">
        <v>86</v>
      </c>
      <c r="C129" s="3">
        <f>[1]H2_por_UF!D24</f>
        <v>42.310557039821603</v>
      </c>
      <c r="D129" s="2" t="s">
        <v>107</v>
      </c>
    </row>
    <row r="130" spans="1:4" x14ac:dyDescent="0.3">
      <c r="A130" s="2" t="s">
        <v>46</v>
      </c>
      <c r="B130" s="2" t="s">
        <v>87</v>
      </c>
      <c r="C130" s="3">
        <f>[1]H2_por_UF!D25</f>
        <v>37.858062319638805</v>
      </c>
      <c r="D130" s="2" t="s">
        <v>107</v>
      </c>
    </row>
    <row r="131" spans="1:4" x14ac:dyDescent="0.3">
      <c r="A131" s="2" t="s">
        <v>46</v>
      </c>
      <c r="B131" s="2" t="s">
        <v>88</v>
      </c>
      <c r="C131" s="3">
        <f>[1]H2_por_UF!D26</f>
        <v>41.593392589184944</v>
      </c>
      <c r="D131" s="2" t="s">
        <v>107</v>
      </c>
    </row>
    <row r="132" spans="1:4" x14ac:dyDescent="0.3">
      <c r="A132" s="2" t="s">
        <v>46</v>
      </c>
      <c r="B132" s="2" t="s">
        <v>89</v>
      </c>
      <c r="C132" s="3">
        <f>[1]H2_por_UF!D27</f>
        <v>40.732345595428548</v>
      </c>
      <c r="D132" s="2" t="s">
        <v>107</v>
      </c>
    </row>
    <row r="133" spans="1:4" x14ac:dyDescent="0.3">
      <c r="A133" s="2" t="s">
        <v>46</v>
      </c>
      <c r="B133" s="2" t="s">
        <v>90</v>
      </c>
      <c r="C133" s="3">
        <f>[1]H2_por_UF!D28</f>
        <v>41.168136959924645</v>
      </c>
      <c r="D133" s="2" t="s">
        <v>107</v>
      </c>
    </row>
    <row r="134" spans="1:4" x14ac:dyDescent="0.3">
      <c r="A134" s="2" t="s">
        <v>46</v>
      </c>
      <c r="B134" s="2" t="s">
        <v>91</v>
      </c>
      <c r="C134" s="3">
        <f>[1]H2_por_UF!D29</f>
        <v>37.052691688677449</v>
      </c>
      <c r="D134" s="2" t="s">
        <v>107</v>
      </c>
    </row>
    <row r="135" spans="1:4" x14ac:dyDescent="0.3">
      <c r="A135" s="2" t="s">
        <v>46</v>
      </c>
      <c r="B135" s="2" t="s">
        <v>92</v>
      </c>
      <c r="C135" s="3">
        <f>[1]H2_por_UF!D30</f>
        <v>40.41180352149334</v>
      </c>
      <c r="D135" s="2" t="s">
        <v>107</v>
      </c>
    </row>
    <row r="136" spans="1:4" x14ac:dyDescent="0.3">
      <c r="A136" s="2" t="s">
        <v>46</v>
      </c>
      <c r="B136" s="2" t="s">
        <v>93</v>
      </c>
      <c r="C136" s="3">
        <f>[1]H2_por_UF!D31</f>
        <v>39.441125226893362</v>
      </c>
      <c r="D136" s="2" t="s">
        <v>107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8"/>
  <sheetViews>
    <sheetView workbookViewId="0"/>
  </sheetViews>
  <sheetFormatPr defaultRowHeight="14.4" x14ac:dyDescent="0.3"/>
  <sheetData>
    <row r="1" spans="1:2" x14ac:dyDescent="0.3">
      <c r="A1" t="s">
        <v>94</v>
      </c>
      <c r="B1" t="s">
        <v>95</v>
      </c>
    </row>
    <row r="2" spans="1:2" x14ac:dyDescent="0.3">
      <c r="A2" t="s">
        <v>67</v>
      </c>
      <c r="B2" t="s">
        <v>96</v>
      </c>
    </row>
    <row r="3" spans="1:2" x14ac:dyDescent="0.3">
      <c r="A3" t="s">
        <v>68</v>
      </c>
      <c r="B3" t="s">
        <v>97</v>
      </c>
    </row>
    <row r="4" spans="1:2" x14ac:dyDescent="0.3">
      <c r="A4" t="s">
        <v>69</v>
      </c>
      <c r="B4" t="s">
        <v>96</v>
      </c>
    </row>
    <row r="5" spans="1:2" x14ac:dyDescent="0.3">
      <c r="A5" t="s">
        <v>70</v>
      </c>
      <c r="B5" t="s">
        <v>96</v>
      </c>
    </row>
    <row r="6" spans="1:2" x14ac:dyDescent="0.3">
      <c r="A6" t="s">
        <v>71</v>
      </c>
      <c r="B6" t="s">
        <v>97</v>
      </c>
    </row>
    <row r="7" spans="1:2" x14ac:dyDescent="0.3">
      <c r="A7" t="s">
        <v>72</v>
      </c>
      <c r="B7" t="s">
        <v>97</v>
      </c>
    </row>
    <row r="8" spans="1:2" x14ac:dyDescent="0.3">
      <c r="A8" t="s">
        <v>73</v>
      </c>
      <c r="B8" t="s">
        <v>96</v>
      </c>
    </row>
    <row r="9" spans="1:2" x14ac:dyDescent="0.3">
      <c r="A9" t="s">
        <v>74</v>
      </c>
      <c r="B9" t="s">
        <v>98</v>
      </c>
    </row>
    <row r="10" spans="1:2" x14ac:dyDescent="0.3">
      <c r="A10" t="s">
        <v>75</v>
      </c>
      <c r="B10" t="s">
        <v>96</v>
      </c>
    </row>
    <row r="11" spans="1:2" x14ac:dyDescent="0.3">
      <c r="A11" t="s">
        <v>76</v>
      </c>
      <c r="B11" t="s">
        <v>97</v>
      </c>
    </row>
    <row r="12" spans="1:2" x14ac:dyDescent="0.3">
      <c r="A12" t="s">
        <v>77</v>
      </c>
      <c r="B12" t="s">
        <v>98</v>
      </c>
    </row>
    <row r="13" spans="1:2" x14ac:dyDescent="0.3">
      <c r="A13" t="s">
        <v>78</v>
      </c>
      <c r="B13" t="s">
        <v>96</v>
      </c>
    </row>
    <row r="14" spans="1:2" x14ac:dyDescent="0.3">
      <c r="A14" t="s">
        <v>79</v>
      </c>
      <c r="B14" t="s">
        <v>96</v>
      </c>
    </row>
    <row r="15" spans="1:2" x14ac:dyDescent="0.3">
      <c r="A15" t="s">
        <v>80</v>
      </c>
      <c r="B15" t="s">
        <v>96</v>
      </c>
    </row>
    <row r="16" spans="1:2" x14ac:dyDescent="0.3">
      <c r="A16" t="s">
        <v>81</v>
      </c>
      <c r="B16" t="s">
        <v>97</v>
      </c>
    </row>
    <row r="17" spans="1:2" x14ac:dyDescent="0.3">
      <c r="A17" t="s">
        <v>82</v>
      </c>
      <c r="B17" t="s">
        <v>97</v>
      </c>
    </row>
    <row r="18" spans="1:2" x14ac:dyDescent="0.3">
      <c r="A18" t="s">
        <v>83</v>
      </c>
      <c r="B18" t="s">
        <v>97</v>
      </c>
    </row>
    <row r="19" spans="1:2" x14ac:dyDescent="0.3">
      <c r="A19" t="s">
        <v>84</v>
      </c>
      <c r="B19" t="s">
        <v>96</v>
      </c>
    </row>
    <row r="20" spans="1:2" x14ac:dyDescent="0.3">
      <c r="A20" t="s">
        <v>85</v>
      </c>
      <c r="B20" t="s">
        <v>98</v>
      </c>
    </row>
    <row r="21" spans="1:2" x14ac:dyDescent="0.3">
      <c r="A21" t="s">
        <v>86</v>
      </c>
      <c r="B21" t="s">
        <v>97</v>
      </c>
    </row>
    <row r="22" spans="1:2" x14ac:dyDescent="0.3">
      <c r="A22" t="s">
        <v>87</v>
      </c>
      <c r="B22" t="s">
        <v>96</v>
      </c>
    </row>
    <row r="23" spans="1:2" x14ac:dyDescent="0.3">
      <c r="A23" t="s">
        <v>88</v>
      </c>
      <c r="B23" t="s">
        <v>96</v>
      </c>
    </row>
    <row r="24" spans="1:2" x14ac:dyDescent="0.3">
      <c r="A24" t="s">
        <v>89</v>
      </c>
      <c r="B24" t="s">
        <v>96</v>
      </c>
    </row>
    <row r="25" spans="1:2" x14ac:dyDescent="0.3">
      <c r="A25" t="s">
        <v>90</v>
      </c>
      <c r="B25" t="s">
        <v>96</v>
      </c>
    </row>
    <row r="26" spans="1:2" x14ac:dyDescent="0.3">
      <c r="A26" t="s">
        <v>91</v>
      </c>
      <c r="B26" t="s">
        <v>97</v>
      </c>
    </row>
    <row r="27" spans="1:2" x14ac:dyDescent="0.3">
      <c r="A27" t="s">
        <v>92</v>
      </c>
      <c r="B27" t="s">
        <v>98</v>
      </c>
    </row>
    <row r="28" spans="1:2" x14ac:dyDescent="0.3">
      <c r="A28" t="s">
        <v>93</v>
      </c>
      <c r="B28" t="s">
        <v>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8"/>
  <sheetViews>
    <sheetView workbookViewId="0">
      <selection activeCell="N13" sqref="N13"/>
    </sheetView>
  </sheetViews>
  <sheetFormatPr defaultRowHeight="14.4" x14ac:dyDescent="0.3"/>
  <sheetData>
    <row r="1" spans="1:3" x14ac:dyDescent="0.3">
      <c r="A1" t="s">
        <v>65</v>
      </c>
      <c r="B1" t="s">
        <v>99</v>
      </c>
      <c r="C1" t="s">
        <v>100</v>
      </c>
    </row>
    <row r="2" spans="1:3" x14ac:dyDescent="0.3">
      <c r="A2" t="s">
        <v>67</v>
      </c>
      <c r="C2" t="s">
        <v>101</v>
      </c>
    </row>
    <row r="3" spans="1:3" x14ac:dyDescent="0.3">
      <c r="A3" t="s">
        <v>68</v>
      </c>
      <c r="C3" t="s">
        <v>101</v>
      </c>
    </row>
    <row r="4" spans="1:3" x14ac:dyDescent="0.3">
      <c r="A4" t="s">
        <v>69</v>
      </c>
      <c r="C4" t="s">
        <v>101</v>
      </c>
    </row>
    <row r="5" spans="1:3" x14ac:dyDescent="0.3">
      <c r="A5" t="s">
        <v>70</v>
      </c>
      <c r="C5" t="s">
        <v>101</v>
      </c>
    </row>
    <row r="6" spans="1:3" x14ac:dyDescent="0.3">
      <c r="A6" t="s">
        <v>71</v>
      </c>
      <c r="C6" t="s">
        <v>101</v>
      </c>
    </row>
    <row r="7" spans="1:3" x14ac:dyDescent="0.3">
      <c r="A7" t="s">
        <v>72</v>
      </c>
      <c r="C7" t="s">
        <v>101</v>
      </c>
    </row>
    <row r="8" spans="1:3" x14ac:dyDescent="0.3">
      <c r="A8" t="s">
        <v>73</v>
      </c>
      <c r="C8" t="s">
        <v>101</v>
      </c>
    </row>
    <row r="9" spans="1:3" x14ac:dyDescent="0.3">
      <c r="A9" t="s">
        <v>74</v>
      </c>
      <c r="C9" t="s">
        <v>101</v>
      </c>
    </row>
    <row r="10" spans="1:3" x14ac:dyDescent="0.3">
      <c r="A10" t="s">
        <v>75</v>
      </c>
      <c r="C10" t="s">
        <v>101</v>
      </c>
    </row>
    <row r="11" spans="1:3" x14ac:dyDescent="0.3">
      <c r="A11" t="s">
        <v>76</v>
      </c>
      <c r="C11" t="s">
        <v>101</v>
      </c>
    </row>
    <row r="12" spans="1:3" x14ac:dyDescent="0.3">
      <c r="A12" t="s">
        <v>77</v>
      </c>
      <c r="C12" t="s">
        <v>101</v>
      </c>
    </row>
    <row r="13" spans="1:3" x14ac:dyDescent="0.3">
      <c r="A13" t="s">
        <v>78</v>
      </c>
      <c r="C13" t="s">
        <v>101</v>
      </c>
    </row>
    <row r="14" spans="1:3" x14ac:dyDescent="0.3">
      <c r="A14" t="s">
        <v>79</v>
      </c>
      <c r="C14" t="s">
        <v>101</v>
      </c>
    </row>
    <row r="15" spans="1:3" x14ac:dyDescent="0.3">
      <c r="A15" t="s">
        <v>80</v>
      </c>
      <c r="C15" t="s">
        <v>101</v>
      </c>
    </row>
    <row r="16" spans="1:3" x14ac:dyDescent="0.3">
      <c r="A16" t="s">
        <v>81</v>
      </c>
      <c r="C16" t="s">
        <v>101</v>
      </c>
    </row>
    <row r="17" spans="1:3" x14ac:dyDescent="0.3">
      <c r="A17" t="s">
        <v>82</v>
      </c>
      <c r="C17" t="s">
        <v>101</v>
      </c>
    </row>
    <row r="18" spans="1:3" x14ac:dyDescent="0.3">
      <c r="A18" t="s">
        <v>83</v>
      </c>
      <c r="C18" t="s">
        <v>101</v>
      </c>
    </row>
    <row r="19" spans="1:3" x14ac:dyDescent="0.3">
      <c r="A19" t="s">
        <v>84</v>
      </c>
      <c r="C19" t="s">
        <v>101</v>
      </c>
    </row>
    <row r="20" spans="1:3" x14ac:dyDescent="0.3">
      <c r="A20" t="s">
        <v>85</v>
      </c>
      <c r="C20" t="s">
        <v>101</v>
      </c>
    </row>
    <row r="21" spans="1:3" x14ac:dyDescent="0.3">
      <c r="A21" t="s">
        <v>86</v>
      </c>
      <c r="C21" t="s">
        <v>101</v>
      </c>
    </row>
    <row r="22" spans="1:3" x14ac:dyDescent="0.3">
      <c r="A22" t="s">
        <v>87</v>
      </c>
      <c r="C22" t="s">
        <v>101</v>
      </c>
    </row>
    <row r="23" spans="1:3" x14ac:dyDescent="0.3">
      <c r="A23" t="s">
        <v>88</v>
      </c>
      <c r="C23" t="s">
        <v>101</v>
      </c>
    </row>
    <row r="24" spans="1:3" x14ac:dyDescent="0.3">
      <c r="A24" t="s">
        <v>89</v>
      </c>
      <c r="C24" t="s">
        <v>101</v>
      </c>
    </row>
    <row r="25" spans="1:3" x14ac:dyDescent="0.3">
      <c r="A25" t="s">
        <v>90</v>
      </c>
      <c r="C25" t="s">
        <v>101</v>
      </c>
    </row>
    <row r="26" spans="1:3" x14ac:dyDescent="0.3">
      <c r="A26" t="s">
        <v>91</v>
      </c>
      <c r="C26" t="s">
        <v>101</v>
      </c>
    </row>
    <row r="27" spans="1:3" x14ac:dyDescent="0.3">
      <c r="A27" t="s">
        <v>92</v>
      </c>
      <c r="C27" t="s">
        <v>101</v>
      </c>
    </row>
    <row r="28" spans="1:3" x14ac:dyDescent="0.3">
      <c r="A28" t="s">
        <v>93</v>
      </c>
      <c r="C28" t="s">
        <v>101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06DF-F59E-4978-877E-59902228AC32}">
  <dimension ref="A1:D163"/>
  <sheetViews>
    <sheetView workbookViewId="0">
      <selection activeCell="H15" sqref="H15"/>
    </sheetView>
  </sheetViews>
  <sheetFormatPr defaultRowHeight="14.4" x14ac:dyDescent="0.3"/>
  <cols>
    <col min="1" max="1" width="12" customWidth="1"/>
    <col min="2" max="2" width="8" customWidth="1"/>
    <col min="3" max="3" width="20" customWidth="1"/>
    <col min="4" max="4" width="80" customWidth="1"/>
  </cols>
  <sheetData>
    <row r="1" spans="1:4" x14ac:dyDescent="0.3">
      <c r="A1" s="1" t="s">
        <v>23</v>
      </c>
      <c r="B1" s="1" t="s">
        <v>65</v>
      </c>
      <c r="C1" s="1" t="s">
        <v>102</v>
      </c>
      <c r="D1" s="1" t="s">
        <v>66</v>
      </c>
    </row>
    <row r="2" spans="1:4" x14ac:dyDescent="0.3">
      <c r="A2" s="2" t="s">
        <v>29</v>
      </c>
      <c r="B2" s="2" t="s">
        <v>67</v>
      </c>
      <c r="C2" s="3">
        <f>[1]Ore_por_UF!E5</f>
        <v>0</v>
      </c>
      <c r="D2" s="2" t="s">
        <v>103</v>
      </c>
    </row>
    <row r="3" spans="1:4" x14ac:dyDescent="0.3">
      <c r="A3" s="2" t="s">
        <v>29</v>
      </c>
      <c r="B3" s="2" t="s">
        <v>68</v>
      </c>
      <c r="C3" s="3">
        <f>[1]Ore_por_UF!E6</f>
        <v>0</v>
      </c>
      <c r="D3" s="2" t="s">
        <v>103</v>
      </c>
    </row>
    <row r="4" spans="1:4" x14ac:dyDescent="0.3">
      <c r="A4" s="2" t="s">
        <v>29</v>
      </c>
      <c r="B4" s="2" t="s">
        <v>69</v>
      </c>
      <c r="C4" s="3">
        <f>[1]Ore_por_UF!E7</f>
        <v>0</v>
      </c>
      <c r="D4" s="2" t="s">
        <v>103</v>
      </c>
    </row>
    <row r="5" spans="1:4" x14ac:dyDescent="0.3">
      <c r="A5" s="2" t="s">
        <v>29</v>
      </c>
      <c r="B5" s="2" t="s">
        <v>70</v>
      </c>
      <c r="C5" s="3">
        <f>[1]Ore_por_UF!E8</f>
        <v>0</v>
      </c>
      <c r="D5" s="2" t="s">
        <v>103</v>
      </c>
    </row>
    <row r="6" spans="1:4" x14ac:dyDescent="0.3">
      <c r="A6" s="2" t="s">
        <v>29</v>
      </c>
      <c r="B6" s="2" t="s">
        <v>71</v>
      </c>
      <c r="C6" s="3">
        <f>[1]Ore_por_UF!E9</f>
        <v>0</v>
      </c>
      <c r="D6" s="2" t="s">
        <v>103</v>
      </c>
    </row>
    <row r="7" spans="1:4" x14ac:dyDescent="0.3">
      <c r="A7" s="2" t="s">
        <v>29</v>
      </c>
      <c r="B7" s="2" t="s">
        <v>72</v>
      </c>
      <c r="C7" s="3">
        <f>[1]Ore_por_UF!E10</f>
        <v>25.792000000000002</v>
      </c>
      <c r="D7" s="2" t="s">
        <v>103</v>
      </c>
    </row>
    <row r="8" spans="1:4" x14ac:dyDescent="0.3">
      <c r="A8" s="2" t="s">
        <v>29</v>
      </c>
      <c r="B8" s="2" t="s">
        <v>73</v>
      </c>
      <c r="C8" s="3">
        <f>[1]Ore_por_UF!E11</f>
        <v>0</v>
      </c>
      <c r="D8" s="2" t="s">
        <v>103</v>
      </c>
    </row>
    <row r="9" spans="1:4" x14ac:dyDescent="0.3">
      <c r="A9" s="2" t="s">
        <v>29</v>
      </c>
      <c r="B9" s="2" t="s">
        <v>74</v>
      </c>
      <c r="C9" s="3">
        <f>[1]Ore_por_UF!E12</f>
        <v>20.090437537091987</v>
      </c>
      <c r="D9" s="2" t="s">
        <v>103</v>
      </c>
    </row>
    <row r="10" spans="1:4" x14ac:dyDescent="0.3">
      <c r="A10" s="2" t="s">
        <v>29</v>
      </c>
      <c r="B10" s="2" t="s">
        <v>75</v>
      </c>
      <c r="C10" s="3">
        <f>[1]Ore_por_UF!E13</f>
        <v>0</v>
      </c>
      <c r="D10" s="2" t="s">
        <v>103</v>
      </c>
    </row>
    <row r="11" spans="1:4" x14ac:dyDescent="0.3">
      <c r="A11" s="2" t="s">
        <v>29</v>
      </c>
      <c r="B11" s="2" t="s">
        <v>76</v>
      </c>
      <c r="C11" s="3">
        <f>[1]Ore_por_UF!E14</f>
        <v>0</v>
      </c>
      <c r="D11" s="2" t="s">
        <v>103</v>
      </c>
    </row>
    <row r="12" spans="1:4" x14ac:dyDescent="0.3">
      <c r="A12" s="2" t="s">
        <v>29</v>
      </c>
      <c r="B12" s="2" t="s">
        <v>77</v>
      </c>
      <c r="C12" s="3">
        <f>[1]Ore_por_UF!E15</f>
        <v>0</v>
      </c>
      <c r="D12" s="2" t="s">
        <v>103</v>
      </c>
    </row>
    <row r="13" spans="1:4" x14ac:dyDescent="0.3">
      <c r="A13" s="2" t="s">
        <v>29</v>
      </c>
      <c r="B13" s="2" t="s">
        <v>78</v>
      </c>
      <c r="C13" s="3">
        <f>[1]Ore_por_UF!E16</f>
        <v>0</v>
      </c>
      <c r="D13" s="2" t="s">
        <v>103</v>
      </c>
    </row>
    <row r="14" spans="1:4" x14ac:dyDescent="0.3">
      <c r="A14" s="2" t="s">
        <v>29</v>
      </c>
      <c r="B14" s="2" t="s">
        <v>79</v>
      </c>
      <c r="C14" s="3">
        <f>[1]Ore_por_UF!E17</f>
        <v>0</v>
      </c>
      <c r="D14" s="2" t="s">
        <v>103</v>
      </c>
    </row>
    <row r="15" spans="1:4" x14ac:dyDescent="0.3">
      <c r="A15" s="2" t="s">
        <v>29</v>
      </c>
      <c r="B15" s="2" t="s">
        <v>80</v>
      </c>
      <c r="C15" s="3">
        <f>[1]Ore_por_UF!E18</f>
        <v>26.443886723023596</v>
      </c>
      <c r="D15" s="2" t="s">
        <v>103</v>
      </c>
    </row>
    <row r="16" spans="1:4" x14ac:dyDescent="0.3">
      <c r="A16" s="2" t="s">
        <v>29</v>
      </c>
      <c r="B16" s="2" t="s">
        <v>81</v>
      </c>
      <c r="C16" s="3">
        <f>[1]Ore_por_UF!E19</f>
        <v>0</v>
      </c>
      <c r="D16" s="2" t="s">
        <v>103</v>
      </c>
    </row>
    <row r="17" spans="1:4" x14ac:dyDescent="0.3">
      <c r="A17" s="2" t="s">
        <v>29</v>
      </c>
      <c r="B17" s="2" t="s">
        <v>82</v>
      </c>
      <c r="C17" s="3">
        <f>[1]Ore_por_UF!E20</f>
        <v>0</v>
      </c>
      <c r="D17" s="2" t="s">
        <v>103</v>
      </c>
    </row>
    <row r="18" spans="1:4" x14ac:dyDescent="0.3">
      <c r="A18" s="2" t="s">
        <v>29</v>
      </c>
      <c r="B18" s="2" t="s">
        <v>83</v>
      </c>
      <c r="C18" s="3">
        <f>[1]Ore_por_UF!E21</f>
        <v>0</v>
      </c>
      <c r="D18" s="2" t="s">
        <v>103</v>
      </c>
    </row>
    <row r="19" spans="1:4" x14ac:dyDescent="0.3">
      <c r="A19" s="2" t="s">
        <v>29</v>
      </c>
      <c r="B19" s="2" t="s">
        <v>84</v>
      </c>
      <c r="C19" s="3">
        <f>[1]Ore_por_UF!E22</f>
        <v>0</v>
      </c>
      <c r="D19" s="2" t="s">
        <v>103</v>
      </c>
    </row>
    <row r="20" spans="1:4" x14ac:dyDescent="0.3">
      <c r="A20" s="2" t="s">
        <v>29</v>
      </c>
      <c r="B20" s="2" t="s">
        <v>85</v>
      </c>
      <c r="C20" s="3">
        <f>[1]Ore_por_UF!E23</f>
        <v>21.614230211492625</v>
      </c>
      <c r="D20" s="2" t="s">
        <v>103</v>
      </c>
    </row>
    <row r="21" spans="1:4" x14ac:dyDescent="0.3">
      <c r="A21" s="2" t="s">
        <v>29</v>
      </c>
      <c r="B21" s="2" t="s">
        <v>86</v>
      </c>
      <c r="C21" s="3">
        <f>[1]Ore_por_UF!E24</f>
        <v>0</v>
      </c>
      <c r="D21" s="2" t="s">
        <v>103</v>
      </c>
    </row>
    <row r="22" spans="1:4" x14ac:dyDescent="0.3">
      <c r="A22" s="2" t="s">
        <v>29</v>
      </c>
      <c r="B22" s="2" t="s">
        <v>87</v>
      </c>
      <c r="C22" s="3">
        <f>[1]Ore_por_UF!E25</f>
        <v>0</v>
      </c>
      <c r="D22" s="2" t="s">
        <v>103</v>
      </c>
    </row>
    <row r="23" spans="1:4" x14ac:dyDescent="0.3">
      <c r="A23" s="2" t="s">
        <v>29</v>
      </c>
      <c r="B23" s="2" t="s">
        <v>88</v>
      </c>
      <c r="C23" s="3">
        <f>[1]Ore_por_UF!E26</f>
        <v>0</v>
      </c>
      <c r="D23" s="2" t="s">
        <v>103</v>
      </c>
    </row>
    <row r="24" spans="1:4" x14ac:dyDescent="0.3">
      <c r="A24" s="2" t="s">
        <v>29</v>
      </c>
      <c r="B24" s="2" t="s">
        <v>89</v>
      </c>
      <c r="C24" s="3">
        <f>[1]Ore_por_UF!E27</f>
        <v>0</v>
      </c>
      <c r="D24" s="2" t="s">
        <v>103</v>
      </c>
    </row>
    <row r="25" spans="1:4" x14ac:dyDescent="0.3">
      <c r="A25" s="2" t="s">
        <v>29</v>
      </c>
      <c r="B25" s="2" t="s">
        <v>90</v>
      </c>
      <c r="C25" s="3">
        <f>[1]Ore_por_UF!E28</f>
        <v>0</v>
      </c>
      <c r="D25" s="2" t="s">
        <v>103</v>
      </c>
    </row>
    <row r="26" spans="1:4" x14ac:dyDescent="0.3">
      <c r="A26" s="2" t="s">
        <v>29</v>
      </c>
      <c r="B26" s="2" t="s">
        <v>91</v>
      </c>
      <c r="C26" s="3">
        <f>[1]Ore_por_UF!E29</f>
        <v>0</v>
      </c>
      <c r="D26" s="2" t="s">
        <v>103</v>
      </c>
    </row>
    <row r="27" spans="1:4" x14ac:dyDescent="0.3">
      <c r="A27" s="2" t="s">
        <v>29</v>
      </c>
      <c r="B27" s="2" t="s">
        <v>92</v>
      </c>
      <c r="C27" s="3">
        <f>[1]Ore_por_UF!E30</f>
        <v>0</v>
      </c>
      <c r="D27" s="2" t="s">
        <v>103</v>
      </c>
    </row>
    <row r="28" spans="1:4" x14ac:dyDescent="0.3">
      <c r="A28" s="2" t="s">
        <v>29</v>
      </c>
      <c r="B28" s="2" t="s">
        <v>93</v>
      </c>
      <c r="C28" s="3">
        <f>[1]Ore_por_UF!E31</f>
        <v>0</v>
      </c>
      <c r="D28" s="2" t="s">
        <v>103</v>
      </c>
    </row>
    <row r="29" spans="1:4" x14ac:dyDescent="0.3">
      <c r="A29" s="2" t="s">
        <v>30</v>
      </c>
      <c r="B29" s="2" t="s">
        <v>67</v>
      </c>
      <c r="C29" s="3">
        <f>[1]Ore_por_UF!E5</f>
        <v>0</v>
      </c>
      <c r="D29" s="2" t="s">
        <v>103</v>
      </c>
    </row>
    <row r="30" spans="1:4" x14ac:dyDescent="0.3">
      <c r="A30" s="2" t="s">
        <v>30</v>
      </c>
      <c r="B30" s="2" t="s">
        <v>68</v>
      </c>
      <c r="C30" s="3">
        <f>[1]Ore_por_UF!E6</f>
        <v>0</v>
      </c>
      <c r="D30" s="2" t="s">
        <v>103</v>
      </c>
    </row>
    <row r="31" spans="1:4" x14ac:dyDescent="0.3">
      <c r="A31" s="2" t="s">
        <v>30</v>
      </c>
      <c r="B31" s="2" t="s">
        <v>69</v>
      </c>
      <c r="C31" s="3">
        <f>[1]Ore_por_UF!E7</f>
        <v>0</v>
      </c>
      <c r="D31" s="2" t="s">
        <v>103</v>
      </c>
    </row>
    <row r="32" spans="1:4" x14ac:dyDescent="0.3">
      <c r="A32" s="2" t="s">
        <v>30</v>
      </c>
      <c r="B32" s="2" t="s">
        <v>70</v>
      </c>
      <c r="C32" s="3">
        <f>[1]Ore_por_UF!E8</f>
        <v>0</v>
      </c>
      <c r="D32" s="2" t="s">
        <v>103</v>
      </c>
    </row>
    <row r="33" spans="1:4" x14ac:dyDescent="0.3">
      <c r="A33" s="2" t="s">
        <v>30</v>
      </c>
      <c r="B33" s="2" t="s">
        <v>71</v>
      </c>
      <c r="C33" s="3">
        <f>[1]Ore_por_UF!E9</f>
        <v>0</v>
      </c>
      <c r="D33" s="2" t="s">
        <v>103</v>
      </c>
    </row>
    <row r="34" spans="1:4" x14ac:dyDescent="0.3">
      <c r="A34" s="2" t="s">
        <v>30</v>
      </c>
      <c r="B34" s="2" t="s">
        <v>72</v>
      </c>
      <c r="C34" s="3">
        <f>[1]Ore_por_UF!E10</f>
        <v>25.792000000000002</v>
      </c>
      <c r="D34" s="2" t="s">
        <v>103</v>
      </c>
    </row>
    <row r="35" spans="1:4" x14ac:dyDescent="0.3">
      <c r="A35" s="2" t="s">
        <v>30</v>
      </c>
      <c r="B35" s="2" t="s">
        <v>73</v>
      </c>
      <c r="C35" s="3">
        <f>[1]Ore_por_UF!E11</f>
        <v>0</v>
      </c>
      <c r="D35" s="2" t="s">
        <v>103</v>
      </c>
    </row>
    <row r="36" spans="1:4" x14ac:dyDescent="0.3">
      <c r="A36" s="2" t="s">
        <v>30</v>
      </c>
      <c r="B36" s="2" t="s">
        <v>74</v>
      </c>
      <c r="C36" s="3">
        <f>[1]Ore_por_UF!E12</f>
        <v>20.090437537091987</v>
      </c>
      <c r="D36" s="2" t="s">
        <v>103</v>
      </c>
    </row>
    <row r="37" spans="1:4" x14ac:dyDescent="0.3">
      <c r="A37" s="2" t="s">
        <v>30</v>
      </c>
      <c r="B37" s="2" t="s">
        <v>75</v>
      </c>
      <c r="C37" s="3">
        <f>[1]Ore_por_UF!E13</f>
        <v>0</v>
      </c>
      <c r="D37" s="2" t="s">
        <v>103</v>
      </c>
    </row>
    <row r="38" spans="1:4" x14ac:dyDescent="0.3">
      <c r="A38" s="2" t="s">
        <v>30</v>
      </c>
      <c r="B38" s="2" t="s">
        <v>76</v>
      </c>
      <c r="C38" s="3">
        <f>[1]Ore_por_UF!E14</f>
        <v>0</v>
      </c>
      <c r="D38" s="2" t="s">
        <v>103</v>
      </c>
    </row>
    <row r="39" spans="1:4" x14ac:dyDescent="0.3">
      <c r="A39" s="2" t="s">
        <v>30</v>
      </c>
      <c r="B39" s="2" t="s">
        <v>77</v>
      </c>
      <c r="C39" s="3">
        <f>[1]Ore_por_UF!E15</f>
        <v>0</v>
      </c>
      <c r="D39" s="2" t="s">
        <v>103</v>
      </c>
    </row>
    <row r="40" spans="1:4" x14ac:dyDescent="0.3">
      <c r="A40" s="2" t="s">
        <v>30</v>
      </c>
      <c r="B40" s="2" t="s">
        <v>78</v>
      </c>
      <c r="C40" s="3">
        <f>[1]Ore_por_UF!E16</f>
        <v>0</v>
      </c>
      <c r="D40" s="2" t="s">
        <v>103</v>
      </c>
    </row>
    <row r="41" spans="1:4" x14ac:dyDescent="0.3">
      <c r="A41" s="2" t="s">
        <v>30</v>
      </c>
      <c r="B41" s="2" t="s">
        <v>79</v>
      </c>
      <c r="C41" s="3">
        <f>[1]Ore_por_UF!E17</f>
        <v>0</v>
      </c>
      <c r="D41" s="2" t="s">
        <v>103</v>
      </c>
    </row>
    <row r="42" spans="1:4" x14ac:dyDescent="0.3">
      <c r="A42" s="2" t="s">
        <v>30</v>
      </c>
      <c r="B42" s="2" t="s">
        <v>80</v>
      </c>
      <c r="C42" s="3">
        <f>[1]Ore_por_UF!E18</f>
        <v>26.443886723023596</v>
      </c>
      <c r="D42" s="2" t="s">
        <v>103</v>
      </c>
    </row>
    <row r="43" spans="1:4" x14ac:dyDescent="0.3">
      <c r="A43" s="2" t="s">
        <v>30</v>
      </c>
      <c r="B43" s="2" t="s">
        <v>81</v>
      </c>
      <c r="C43" s="3">
        <f>[1]Ore_por_UF!E19</f>
        <v>0</v>
      </c>
      <c r="D43" s="2" t="s">
        <v>103</v>
      </c>
    </row>
    <row r="44" spans="1:4" x14ac:dyDescent="0.3">
      <c r="A44" s="2" t="s">
        <v>30</v>
      </c>
      <c r="B44" s="2" t="s">
        <v>82</v>
      </c>
      <c r="C44" s="3">
        <f>[1]Ore_por_UF!E20</f>
        <v>0</v>
      </c>
      <c r="D44" s="2" t="s">
        <v>103</v>
      </c>
    </row>
    <row r="45" spans="1:4" x14ac:dyDescent="0.3">
      <c r="A45" s="2" t="s">
        <v>30</v>
      </c>
      <c r="B45" s="2" t="s">
        <v>83</v>
      </c>
      <c r="C45" s="3">
        <f>[1]Ore_por_UF!E21</f>
        <v>0</v>
      </c>
      <c r="D45" s="2" t="s">
        <v>103</v>
      </c>
    </row>
    <row r="46" spans="1:4" x14ac:dyDescent="0.3">
      <c r="A46" s="2" t="s">
        <v>30</v>
      </c>
      <c r="B46" s="2" t="s">
        <v>84</v>
      </c>
      <c r="C46" s="3">
        <f>[1]Ore_por_UF!E22</f>
        <v>0</v>
      </c>
      <c r="D46" s="2" t="s">
        <v>103</v>
      </c>
    </row>
    <row r="47" spans="1:4" x14ac:dyDescent="0.3">
      <c r="A47" s="2" t="s">
        <v>30</v>
      </c>
      <c r="B47" s="2" t="s">
        <v>85</v>
      </c>
      <c r="C47" s="3">
        <f>[1]Ore_por_UF!E23</f>
        <v>21.614230211492625</v>
      </c>
      <c r="D47" s="2" t="s">
        <v>103</v>
      </c>
    </row>
    <row r="48" spans="1:4" x14ac:dyDescent="0.3">
      <c r="A48" s="2" t="s">
        <v>30</v>
      </c>
      <c r="B48" s="2" t="s">
        <v>86</v>
      </c>
      <c r="C48" s="3">
        <f>[1]Ore_por_UF!E24</f>
        <v>0</v>
      </c>
      <c r="D48" s="2" t="s">
        <v>103</v>
      </c>
    </row>
    <row r="49" spans="1:4" x14ac:dyDescent="0.3">
      <c r="A49" s="2" t="s">
        <v>30</v>
      </c>
      <c r="B49" s="2" t="s">
        <v>87</v>
      </c>
      <c r="C49" s="3">
        <f>[1]Ore_por_UF!E25</f>
        <v>0</v>
      </c>
      <c r="D49" s="2" t="s">
        <v>103</v>
      </c>
    </row>
    <row r="50" spans="1:4" x14ac:dyDescent="0.3">
      <c r="A50" s="2" t="s">
        <v>30</v>
      </c>
      <c r="B50" s="2" t="s">
        <v>88</v>
      </c>
      <c r="C50" s="3">
        <f>[1]Ore_por_UF!E26</f>
        <v>0</v>
      </c>
      <c r="D50" s="2" t="s">
        <v>103</v>
      </c>
    </row>
    <row r="51" spans="1:4" x14ac:dyDescent="0.3">
      <c r="A51" s="2" t="s">
        <v>30</v>
      </c>
      <c r="B51" s="2" t="s">
        <v>89</v>
      </c>
      <c r="C51" s="3">
        <f>[1]Ore_por_UF!E27</f>
        <v>0</v>
      </c>
      <c r="D51" s="2" t="s">
        <v>103</v>
      </c>
    </row>
    <row r="52" spans="1:4" x14ac:dyDescent="0.3">
      <c r="A52" s="2" t="s">
        <v>30</v>
      </c>
      <c r="B52" s="2" t="s">
        <v>90</v>
      </c>
      <c r="C52" s="3">
        <f>[1]Ore_por_UF!E28</f>
        <v>0</v>
      </c>
      <c r="D52" s="2" t="s">
        <v>103</v>
      </c>
    </row>
    <row r="53" spans="1:4" x14ac:dyDescent="0.3">
      <c r="A53" s="2" t="s">
        <v>30</v>
      </c>
      <c r="B53" s="2" t="s">
        <v>91</v>
      </c>
      <c r="C53" s="3">
        <f>[1]Ore_por_UF!E29</f>
        <v>0</v>
      </c>
      <c r="D53" s="2" t="s">
        <v>103</v>
      </c>
    </row>
    <row r="54" spans="1:4" x14ac:dyDescent="0.3">
      <c r="A54" s="2" t="s">
        <v>30</v>
      </c>
      <c r="B54" s="2" t="s">
        <v>92</v>
      </c>
      <c r="C54" s="3">
        <f>[1]Ore_por_UF!E30</f>
        <v>0</v>
      </c>
      <c r="D54" s="2" t="s">
        <v>103</v>
      </c>
    </row>
    <row r="55" spans="1:4" x14ac:dyDescent="0.3">
      <c r="A55" s="2" t="s">
        <v>30</v>
      </c>
      <c r="B55" s="2" t="s">
        <v>93</v>
      </c>
      <c r="C55" s="3">
        <f>[1]Ore_por_UF!E31</f>
        <v>0</v>
      </c>
      <c r="D55" s="2" t="s">
        <v>103</v>
      </c>
    </row>
    <row r="56" spans="1:4" x14ac:dyDescent="0.3">
      <c r="A56" s="2" t="s">
        <v>31</v>
      </c>
      <c r="B56" s="2" t="s">
        <v>67</v>
      </c>
      <c r="C56" s="3">
        <f>[1]Ore_por_UF!E5</f>
        <v>0</v>
      </c>
      <c r="D56" s="2" t="s">
        <v>103</v>
      </c>
    </row>
    <row r="57" spans="1:4" x14ac:dyDescent="0.3">
      <c r="A57" s="2" t="s">
        <v>31</v>
      </c>
      <c r="B57" s="2" t="s">
        <v>68</v>
      </c>
      <c r="C57" s="3">
        <f>[1]Ore_por_UF!E6</f>
        <v>0</v>
      </c>
      <c r="D57" s="2" t="s">
        <v>103</v>
      </c>
    </row>
    <row r="58" spans="1:4" x14ac:dyDescent="0.3">
      <c r="A58" s="2" t="s">
        <v>31</v>
      </c>
      <c r="B58" s="2" t="s">
        <v>69</v>
      </c>
      <c r="C58" s="3">
        <f>[1]Ore_por_UF!E7</f>
        <v>0</v>
      </c>
      <c r="D58" s="2" t="s">
        <v>103</v>
      </c>
    </row>
    <row r="59" spans="1:4" x14ac:dyDescent="0.3">
      <c r="A59" s="2" t="s">
        <v>31</v>
      </c>
      <c r="B59" s="2" t="s">
        <v>70</v>
      </c>
      <c r="C59" s="3">
        <f>[1]Ore_por_UF!E8</f>
        <v>0</v>
      </c>
      <c r="D59" s="2" t="s">
        <v>103</v>
      </c>
    </row>
    <row r="60" spans="1:4" x14ac:dyDescent="0.3">
      <c r="A60" s="2" t="s">
        <v>31</v>
      </c>
      <c r="B60" s="2" t="s">
        <v>71</v>
      </c>
      <c r="C60" s="3">
        <f>[1]Ore_por_UF!E9</f>
        <v>0</v>
      </c>
      <c r="D60" s="2" t="s">
        <v>103</v>
      </c>
    </row>
    <row r="61" spans="1:4" x14ac:dyDescent="0.3">
      <c r="A61" s="2" t="s">
        <v>31</v>
      </c>
      <c r="B61" s="2" t="s">
        <v>72</v>
      </c>
      <c r="C61" s="3">
        <f>[1]Ore_por_UF!E10</f>
        <v>25.792000000000002</v>
      </c>
      <c r="D61" s="2" t="s">
        <v>103</v>
      </c>
    </row>
    <row r="62" spans="1:4" x14ac:dyDescent="0.3">
      <c r="A62" s="2" t="s">
        <v>31</v>
      </c>
      <c r="B62" s="2" t="s">
        <v>73</v>
      </c>
      <c r="C62" s="3">
        <f>[1]Ore_por_UF!E11</f>
        <v>0</v>
      </c>
      <c r="D62" s="2" t="s">
        <v>103</v>
      </c>
    </row>
    <row r="63" spans="1:4" x14ac:dyDescent="0.3">
      <c r="A63" s="2" t="s">
        <v>31</v>
      </c>
      <c r="B63" s="2" t="s">
        <v>74</v>
      </c>
      <c r="C63" s="3">
        <f>[1]Ore_por_UF!E12</f>
        <v>20.090437537091987</v>
      </c>
      <c r="D63" s="2" t="s">
        <v>103</v>
      </c>
    </row>
    <row r="64" spans="1:4" x14ac:dyDescent="0.3">
      <c r="A64" s="2" t="s">
        <v>31</v>
      </c>
      <c r="B64" s="2" t="s">
        <v>75</v>
      </c>
      <c r="C64" s="3">
        <f>[1]Ore_por_UF!E13</f>
        <v>0</v>
      </c>
      <c r="D64" s="2" t="s">
        <v>103</v>
      </c>
    </row>
    <row r="65" spans="1:4" x14ac:dyDescent="0.3">
      <c r="A65" s="2" t="s">
        <v>31</v>
      </c>
      <c r="B65" s="2" t="s">
        <v>76</v>
      </c>
      <c r="C65" s="3">
        <f>[1]Ore_por_UF!E14</f>
        <v>0</v>
      </c>
      <c r="D65" s="2" t="s">
        <v>103</v>
      </c>
    </row>
    <row r="66" spans="1:4" x14ac:dyDescent="0.3">
      <c r="A66" s="2" t="s">
        <v>31</v>
      </c>
      <c r="B66" s="2" t="s">
        <v>77</v>
      </c>
      <c r="C66" s="3">
        <f>[1]Ore_por_UF!E15</f>
        <v>0</v>
      </c>
      <c r="D66" s="2" t="s">
        <v>103</v>
      </c>
    </row>
    <row r="67" spans="1:4" x14ac:dyDescent="0.3">
      <c r="A67" s="2" t="s">
        <v>31</v>
      </c>
      <c r="B67" s="2" t="s">
        <v>78</v>
      </c>
      <c r="C67" s="3">
        <f>[1]Ore_por_UF!E16</f>
        <v>0</v>
      </c>
      <c r="D67" s="2" t="s">
        <v>103</v>
      </c>
    </row>
    <row r="68" spans="1:4" x14ac:dyDescent="0.3">
      <c r="A68" s="2" t="s">
        <v>31</v>
      </c>
      <c r="B68" s="2" t="s">
        <v>79</v>
      </c>
      <c r="C68" s="3">
        <f>[1]Ore_por_UF!E17</f>
        <v>0</v>
      </c>
      <c r="D68" s="2" t="s">
        <v>103</v>
      </c>
    </row>
    <row r="69" spans="1:4" x14ac:dyDescent="0.3">
      <c r="A69" s="2" t="s">
        <v>31</v>
      </c>
      <c r="B69" s="2" t="s">
        <v>80</v>
      </c>
      <c r="C69" s="3">
        <f>[1]Ore_por_UF!E18</f>
        <v>26.443886723023596</v>
      </c>
      <c r="D69" s="2" t="s">
        <v>103</v>
      </c>
    </row>
    <row r="70" spans="1:4" x14ac:dyDescent="0.3">
      <c r="A70" s="2" t="s">
        <v>31</v>
      </c>
      <c r="B70" s="2" t="s">
        <v>81</v>
      </c>
      <c r="C70" s="3">
        <f>[1]Ore_por_UF!E19</f>
        <v>0</v>
      </c>
      <c r="D70" s="2" t="s">
        <v>103</v>
      </c>
    </row>
    <row r="71" spans="1:4" x14ac:dyDescent="0.3">
      <c r="A71" s="2" t="s">
        <v>31</v>
      </c>
      <c r="B71" s="2" t="s">
        <v>82</v>
      </c>
      <c r="C71" s="3">
        <f>[1]Ore_por_UF!E20</f>
        <v>0</v>
      </c>
      <c r="D71" s="2" t="s">
        <v>103</v>
      </c>
    </row>
    <row r="72" spans="1:4" x14ac:dyDescent="0.3">
      <c r="A72" s="2" t="s">
        <v>31</v>
      </c>
      <c r="B72" s="2" t="s">
        <v>83</v>
      </c>
      <c r="C72" s="3">
        <f>[1]Ore_por_UF!E21</f>
        <v>0</v>
      </c>
      <c r="D72" s="2" t="s">
        <v>103</v>
      </c>
    </row>
    <row r="73" spans="1:4" x14ac:dyDescent="0.3">
      <c r="A73" s="2" t="s">
        <v>31</v>
      </c>
      <c r="B73" s="2" t="s">
        <v>84</v>
      </c>
      <c r="C73" s="3">
        <f>[1]Ore_por_UF!E22</f>
        <v>0</v>
      </c>
      <c r="D73" s="2" t="s">
        <v>103</v>
      </c>
    </row>
    <row r="74" spans="1:4" x14ac:dyDescent="0.3">
      <c r="A74" s="2" t="s">
        <v>31</v>
      </c>
      <c r="B74" s="2" t="s">
        <v>85</v>
      </c>
      <c r="C74" s="3">
        <f>[1]Ore_por_UF!E23</f>
        <v>21.614230211492625</v>
      </c>
      <c r="D74" s="2" t="s">
        <v>103</v>
      </c>
    </row>
    <row r="75" spans="1:4" x14ac:dyDescent="0.3">
      <c r="A75" s="2" t="s">
        <v>31</v>
      </c>
      <c r="B75" s="2" t="s">
        <v>86</v>
      </c>
      <c r="C75" s="3">
        <f>[1]Ore_por_UF!E24</f>
        <v>0</v>
      </c>
      <c r="D75" s="2" t="s">
        <v>103</v>
      </c>
    </row>
    <row r="76" spans="1:4" x14ac:dyDescent="0.3">
      <c r="A76" s="2" t="s">
        <v>31</v>
      </c>
      <c r="B76" s="2" t="s">
        <v>87</v>
      </c>
      <c r="C76" s="3">
        <f>[1]Ore_por_UF!E25</f>
        <v>0</v>
      </c>
      <c r="D76" s="2" t="s">
        <v>103</v>
      </c>
    </row>
    <row r="77" spans="1:4" x14ac:dyDescent="0.3">
      <c r="A77" s="2" t="s">
        <v>31</v>
      </c>
      <c r="B77" s="2" t="s">
        <v>88</v>
      </c>
      <c r="C77" s="3">
        <f>[1]Ore_por_UF!E26</f>
        <v>0</v>
      </c>
      <c r="D77" s="2" t="s">
        <v>103</v>
      </c>
    </row>
    <row r="78" spans="1:4" x14ac:dyDescent="0.3">
      <c r="A78" s="2" t="s">
        <v>31</v>
      </c>
      <c r="B78" s="2" t="s">
        <v>89</v>
      </c>
      <c r="C78" s="3">
        <f>[1]Ore_por_UF!E27</f>
        <v>0</v>
      </c>
      <c r="D78" s="2" t="s">
        <v>103</v>
      </c>
    </row>
    <row r="79" spans="1:4" x14ac:dyDescent="0.3">
      <c r="A79" s="2" t="s">
        <v>31</v>
      </c>
      <c r="B79" s="2" t="s">
        <v>90</v>
      </c>
      <c r="C79" s="3">
        <f>[1]Ore_por_UF!E28</f>
        <v>0</v>
      </c>
      <c r="D79" s="2" t="s">
        <v>103</v>
      </c>
    </row>
    <row r="80" spans="1:4" x14ac:dyDescent="0.3">
      <c r="A80" s="2" t="s">
        <v>31</v>
      </c>
      <c r="B80" s="2" t="s">
        <v>91</v>
      </c>
      <c r="C80" s="3">
        <f>[1]Ore_por_UF!E29</f>
        <v>0</v>
      </c>
      <c r="D80" s="2" t="s">
        <v>103</v>
      </c>
    </row>
    <row r="81" spans="1:4" x14ac:dyDescent="0.3">
      <c r="A81" s="2" t="s">
        <v>31</v>
      </c>
      <c r="B81" s="2" t="s">
        <v>92</v>
      </c>
      <c r="C81" s="3">
        <f>[1]Ore_por_UF!E30</f>
        <v>0</v>
      </c>
      <c r="D81" s="2" t="s">
        <v>103</v>
      </c>
    </row>
    <row r="82" spans="1:4" x14ac:dyDescent="0.3">
      <c r="A82" s="2" t="s">
        <v>31</v>
      </c>
      <c r="B82" s="2" t="s">
        <v>93</v>
      </c>
      <c r="C82" s="3">
        <f>[1]Ore_por_UF!E31</f>
        <v>0</v>
      </c>
      <c r="D82" s="2" t="s">
        <v>103</v>
      </c>
    </row>
    <row r="83" spans="1:4" x14ac:dyDescent="0.3">
      <c r="A83" s="2" t="s">
        <v>35</v>
      </c>
      <c r="B83" s="2" t="s">
        <v>67</v>
      </c>
      <c r="C83" s="3">
        <f>[1]Ore_por_UF!E5</f>
        <v>0</v>
      </c>
      <c r="D83" s="2" t="s">
        <v>103</v>
      </c>
    </row>
    <row r="84" spans="1:4" x14ac:dyDescent="0.3">
      <c r="A84" s="2" t="s">
        <v>35</v>
      </c>
      <c r="B84" s="2" t="s">
        <v>68</v>
      </c>
      <c r="C84" s="3">
        <f>[1]Ore_por_UF!E6</f>
        <v>0</v>
      </c>
      <c r="D84" s="2" t="s">
        <v>103</v>
      </c>
    </row>
    <row r="85" spans="1:4" x14ac:dyDescent="0.3">
      <c r="A85" s="2" t="s">
        <v>35</v>
      </c>
      <c r="B85" s="2" t="s">
        <v>69</v>
      </c>
      <c r="C85" s="3">
        <f>[1]Ore_por_UF!E7</f>
        <v>0</v>
      </c>
      <c r="D85" s="2" t="s">
        <v>103</v>
      </c>
    </row>
    <row r="86" spans="1:4" x14ac:dyDescent="0.3">
      <c r="A86" s="2" t="s">
        <v>35</v>
      </c>
      <c r="B86" s="2" t="s">
        <v>70</v>
      </c>
      <c r="C86" s="3">
        <f>[1]Ore_por_UF!E8</f>
        <v>0</v>
      </c>
      <c r="D86" s="2" t="s">
        <v>103</v>
      </c>
    </row>
    <row r="87" spans="1:4" x14ac:dyDescent="0.3">
      <c r="A87" s="2" t="s">
        <v>35</v>
      </c>
      <c r="B87" s="2" t="s">
        <v>71</v>
      </c>
      <c r="C87" s="3">
        <f>[1]Ore_por_UF!E9</f>
        <v>0</v>
      </c>
      <c r="D87" s="2" t="s">
        <v>103</v>
      </c>
    </row>
    <row r="88" spans="1:4" x14ac:dyDescent="0.3">
      <c r="A88" s="2" t="s">
        <v>35</v>
      </c>
      <c r="B88" s="2" t="s">
        <v>72</v>
      </c>
      <c r="C88" s="3">
        <f>[1]Ore_por_UF!E10</f>
        <v>25.792000000000002</v>
      </c>
      <c r="D88" s="2" t="s">
        <v>103</v>
      </c>
    </row>
    <row r="89" spans="1:4" x14ac:dyDescent="0.3">
      <c r="A89" s="2" t="s">
        <v>35</v>
      </c>
      <c r="B89" s="2" t="s">
        <v>73</v>
      </c>
      <c r="C89" s="3">
        <f>[1]Ore_por_UF!E11</f>
        <v>0</v>
      </c>
      <c r="D89" s="2" t="s">
        <v>103</v>
      </c>
    </row>
    <row r="90" spans="1:4" x14ac:dyDescent="0.3">
      <c r="A90" s="2" t="s">
        <v>35</v>
      </c>
      <c r="B90" s="2" t="s">
        <v>74</v>
      </c>
      <c r="C90" s="3">
        <f>[1]Ore_por_UF!E12</f>
        <v>20.090437537091987</v>
      </c>
      <c r="D90" s="2" t="s">
        <v>103</v>
      </c>
    </row>
    <row r="91" spans="1:4" x14ac:dyDescent="0.3">
      <c r="A91" s="2" t="s">
        <v>35</v>
      </c>
      <c r="B91" s="2" t="s">
        <v>75</v>
      </c>
      <c r="C91" s="3">
        <f>[1]Ore_por_UF!E13</f>
        <v>0</v>
      </c>
      <c r="D91" s="2" t="s">
        <v>103</v>
      </c>
    </row>
    <row r="92" spans="1:4" x14ac:dyDescent="0.3">
      <c r="A92" s="2" t="s">
        <v>35</v>
      </c>
      <c r="B92" s="2" t="s">
        <v>76</v>
      </c>
      <c r="C92" s="3">
        <f>[1]Ore_por_UF!E14</f>
        <v>0</v>
      </c>
      <c r="D92" s="2" t="s">
        <v>103</v>
      </c>
    </row>
    <row r="93" spans="1:4" x14ac:dyDescent="0.3">
      <c r="A93" s="2" t="s">
        <v>35</v>
      </c>
      <c r="B93" s="2" t="s">
        <v>77</v>
      </c>
      <c r="C93" s="3">
        <f>[1]Ore_por_UF!E15</f>
        <v>0</v>
      </c>
      <c r="D93" s="2" t="s">
        <v>103</v>
      </c>
    </row>
    <row r="94" spans="1:4" x14ac:dyDescent="0.3">
      <c r="A94" s="2" t="s">
        <v>35</v>
      </c>
      <c r="B94" s="2" t="s">
        <v>78</v>
      </c>
      <c r="C94" s="3">
        <f>[1]Ore_por_UF!E16</f>
        <v>0</v>
      </c>
      <c r="D94" s="2" t="s">
        <v>103</v>
      </c>
    </row>
    <row r="95" spans="1:4" x14ac:dyDescent="0.3">
      <c r="A95" s="2" t="s">
        <v>35</v>
      </c>
      <c r="B95" s="2" t="s">
        <v>79</v>
      </c>
      <c r="C95" s="3">
        <f>[1]Ore_por_UF!E17</f>
        <v>0</v>
      </c>
      <c r="D95" s="2" t="s">
        <v>103</v>
      </c>
    </row>
    <row r="96" spans="1:4" x14ac:dyDescent="0.3">
      <c r="A96" s="2" t="s">
        <v>35</v>
      </c>
      <c r="B96" s="2" t="s">
        <v>80</v>
      </c>
      <c r="C96" s="3">
        <f>[1]Ore_por_UF!E18</f>
        <v>26.443886723023596</v>
      </c>
      <c r="D96" s="2" t="s">
        <v>103</v>
      </c>
    </row>
    <row r="97" spans="1:4" x14ac:dyDescent="0.3">
      <c r="A97" s="2" t="s">
        <v>35</v>
      </c>
      <c r="B97" s="2" t="s">
        <v>81</v>
      </c>
      <c r="C97" s="3">
        <f>[1]Ore_por_UF!E19</f>
        <v>0</v>
      </c>
      <c r="D97" s="2" t="s">
        <v>103</v>
      </c>
    </row>
    <row r="98" spans="1:4" x14ac:dyDescent="0.3">
      <c r="A98" s="2" t="s">
        <v>35</v>
      </c>
      <c r="B98" s="2" t="s">
        <v>82</v>
      </c>
      <c r="C98" s="3">
        <f>[1]Ore_por_UF!E20</f>
        <v>0</v>
      </c>
      <c r="D98" s="2" t="s">
        <v>103</v>
      </c>
    </row>
    <row r="99" spans="1:4" x14ac:dyDescent="0.3">
      <c r="A99" s="2" t="s">
        <v>35</v>
      </c>
      <c r="B99" s="2" t="s">
        <v>83</v>
      </c>
      <c r="C99" s="3">
        <f>[1]Ore_por_UF!E21</f>
        <v>0</v>
      </c>
      <c r="D99" s="2" t="s">
        <v>103</v>
      </c>
    </row>
    <row r="100" spans="1:4" x14ac:dyDescent="0.3">
      <c r="A100" s="2" t="s">
        <v>35</v>
      </c>
      <c r="B100" s="2" t="s">
        <v>84</v>
      </c>
      <c r="C100" s="3">
        <f>[1]Ore_por_UF!E22</f>
        <v>0</v>
      </c>
      <c r="D100" s="2" t="s">
        <v>103</v>
      </c>
    </row>
    <row r="101" spans="1:4" x14ac:dyDescent="0.3">
      <c r="A101" s="2" t="s">
        <v>35</v>
      </c>
      <c r="B101" s="2" t="s">
        <v>85</v>
      </c>
      <c r="C101" s="3">
        <f>[1]Ore_por_UF!E23</f>
        <v>21.614230211492625</v>
      </c>
      <c r="D101" s="2" t="s">
        <v>103</v>
      </c>
    </row>
    <row r="102" spans="1:4" x14ac:dyDescent="0.3">
      <c r="A102" s="2" t="s">
        <v>35</v>
      </c>
      <c r="B102" s="2" t="s">
        <v>86</v>
      </c>
      <c r="C102" s="3">
        <f>[1]Ore_por_UF!E24</f>
        <v>0</v>
      </c>
      <c r="D102" s="2" t="s">
        <v>103</v>
      </c>
    </row>
    <row r="103" spans="1:4" x14ac:dyDescent="0.3">
      <c r="A103" s="2" t="s">
        <v>35</v>
      </c>
      <c r="B103" s="2" t="s">
        <v>87</v>
      </c>
      <c r="C103" s="3">
        <f>[1]Ore_por_UF!E25</f>
        <v>0</v>
      </c>
      <c r="D103" s="2" t="s">
        <v>103</v>
      </c>
    </row>
    <row r="104" spans="1:4" x14ac:dyDescent="0.3">
      <c r="A104" s="2" t="s">
        <v>35</v>
      </c>
      <c r="B104" s="2" t="s">
        <v>88</v>
      </c>
      <c r="C104" s="3">
        <f>[1]Ore_por_UF!E26</f>
        <v>0</v>
      </c>
      <c r="D104" s="2" t="s">
        <v>103</v>
      </c>
    </row>
    <row r="105" spans="1:4" x14ac:dyDescent="0.3">
      <c r="A105" s="2" t="s">
        <v>35</v>
      </c>
      <c r="B105" s="2" t="s">
        <v>89</v>
      </c>
      <c r="C105" s="3">
        <f>[1]Ore_por_UF!E27</f>
        <v>0</v>
      </c>
      <c r="D105" s="2" t="s">
        <v>103</v>
      </c>
    </row>
    <row r="106" spans="1:4" x14ac:dyDescent="0.3">
      <c r="A106" s="2" t="s">
        <v>35</v>
      </c>
      <c r="B106" s="2" t="s">
        <v>90</v>
      </c>
      <c r="C106" s="3">
        <f>[1]Ore_por_UF!E28</f>
        <v>0</v>
      </c>
      <c r="D106" s="2" t="s">
        <v>103</v>
      </c>
    </row>
    <row r="107" spans="1:4" x14ac:dyDescent="0.3">
      <c r="A107" s="2" t="s">
        <v>35</v>
      </c>
      <c r="B107" s="2" t="s">
        <v>91</v>
      </c>
      <c r="C107" s="3">
        <f>[1]Ore_por_UF!E29</f>
        <v>0</v>
      </c>
      <c r="D107" s="2" t="s">
        <v>103</v>
      </c>
    </row>
    <row r="108" spans="1:4" x14ac:dyDescent="0.3">
      <c r="A108" s="2" t="s">
        <v>35</v>
      </c>
      <c r="B108" s="2" t="s">
        <v>92</v>
      </c>
      <c r="C108" s="3">
        <f>[1]Ore_por_UF!E30</f>
        <v>0</v>
      </c>
      <c r="D108" s="2" t="s">
        <v>103</v>
      </c>
    </row>
    <row r="109" spans="1:4" x14ac:dyDescent="0.3">
      <c r="A109" s="2" t="s">
        <v>35</v>
      </c>
      <c r="B109" s="2" t="s">
        <v>93</v>
      </c>
      <c r="C109" s="3">
        <f>[1]Ore_por_UF!E31</f>
        <v>0</v>
      </c>
      <c r="D109" s="2" t="s">
        <v>103</v>
      </c>
    </row>
    <row r="110" spans="1:4" x14ac:dyDescent="0.3">
      <c r="A110" s="2" t="s">
        <v>33</v>
      </c>
      <c r="B110" s="2" t="s">
        <v>67</v>
      </c>
      <c r="C110" s="3">
        <f>[1]Ore_por_UF!G5</f>
        <v>0</v>
      </c>
      <c r="D110" s="2" t="s">
        <v>104</v>
      </c>
    </row>
    <row r="111" spans="1:4" x14ac:dyDescent="0.3">
      <c r="A111" s="2" t="s">
        <v>33</v>
      </c>
      <c r="B111" s="2" t="s">
        <v>68</v>
      </c>
      <c r="C111" s="3">
        <f>[1]Ore_por_UF!G6</f>
        <v>0</v>
      </c>
      <c r="D111" s="2" t="s">
        <v>104</v>
      </c>
    </row>
    <row r="112" spans="1:4" x14ac:dyDescent="0.3">
      <c r="A112" s="2" t="s">
        <v>33</v>
      </c>
      <c r="B112" s="2" t="s">
        <v>69</v>
      </c>
      <c r="C112" s="3">
        <f>[1]Ore_por_UF!G7</f>
        <v>0</v>
      </c>
      <c r="D112" s="2" t="s">
        <v>104</v>
      </c>
    </row>
    <row r="113" spans="1:4" x14ac:dyDescent="0.3">
      <c r="A113" s="2" t="s">
        <v>33</v>
      </c>
      <c r="B113" s="2" t="s">
        <v>70</v>
      </c>
      <c r="C113" s="3">
        <f>[1]Ore_por_UF!G8</f>
        <v>0</v>
      </c>
      <c r="D113" s="2" t="s">
        <v>104</v>
      </c>
    </row>
    <row r="114" spans="1:4" x14ac:dyDescent="0.3">
      <c r="A114" s="2" t="s">
        <v>33</v>
      </c>
      <c r="B114" s="2" t="s">
        <v>71</v>
      </c>
      <c r="C114" s="3">
        <f>[1]Ore_por_UF!G9</f>
        <v>0</v>
      </c>
      <c r="D114" s="2" t="s">
        <v>104</v>
      </c>
    </row>
    <row r="115" spans="1:4" x14ac:dyDescent="0.3">
      <c r="A115" s="2" t="s">
        <v>33</v>
      </c>
      <c r="B115" s="2" t="s">
        <v>72</v>
      </c>
      <c r="C115" s="3">
        <f>[1]Ore_por_UF!G10</f>
        <v>23.374000000000002</v>
      </c>
      <c r="D115" s="2" t="s">
        <v>104</v>
      </c>
    </row>
    <row r="116" spans="1:4" x14ac:dyDescent="0.3">
      <c r="A116" s="2" t="s">
        <v>33</v>
      </c>
      <c r="B116" s="2" t="s">
        <v>73</v>
      </c>
      <c r="C116" s="3">
        <f>[1]Ore_por_UF!G11</f>
        <v>0</v>
      </c>
      <c r="D116" s="2" t="s">
        <v>104</v>
      </c>
    </row>
    <row r="117" spans="1:4" x14ac:dyDescent="0.3">
      <c r="A117" s="2" t="s">
        <v>33</v>
      </c>
      <c r="B117" s="2" t="s">
        <v>74</v>
      </c>
      <c r="C117" s="3">
        <f>[1]Ore_por_UF!G12</f>
        <v>0</v>
      </c>
      <c r="D117" s="2" t="s">
        <v>104</v>
      </c>
    </row>
    <row r="118" spans="1:4" x14ac:dyDescent="0.3">
      <c r="A118" s="2" t="s">
        <v>33</v>
      </c>
      <c r="B118" s="2" t="s">
        <v>75</v>
      </c>
      <c r="C118" s="3">
        <f>[1]Ore_por_UF!G13</f>
        <v>0</v>
      </c>
      <c r="D118" s="2" t="s">
        <v>104</v>
      </c>
    </row>
    <row r="119" spans="1:4" x14ac:dyDescent="0.3">
      <c r="A119" s="2" t="s">
        <v>33</v>
      </c>
      <c r="B119" s="2" t="s">
        <v>76</v>
      </c>
      <c r="C119" s="3">
        <f>[1]Ore_por_UF!G14</f>
        <v>-24.382080255606599</v>
      </c>
      <c r="D119" s="2" t="s">
        <v>104</v>
      </c>
    </row>
    <row r="120" spans="1:4" x14ac:dyDescent="0.3">
      <c r="A120" s="2" t="s">
        <v>33</v>
      </c>
      <c r="B120" s="2" t="s">
        <v>77</v>
      </c>
      <c r="C120" s="3">
        <f>[1]Ore_por_UF!G15</f>
        <v>0</v>
      </c>
      <c r="D120" s="2" t="s">
        <v>104</v>
      </c>
    </row>
    <row r="121" spans="1:4" x14ac:dyDescent="0.3">
      <c r="A121" s="2" t="s">
        <v>33</v>
      </c>
      <c r="B121" s="2" t="s">
        <v>78</v>
      </c>
      <c r="C121" s="3">
        <f>[1]Ore_por_UF!G16</f>
        <v>0</v>
      </c>
      <c r="D121" s="2" t="s">
        <v>104</v>
      </c>
    </row>
    <row r="122" spans="1:4" x14ac:dyDescent="0.3">
      <c r="A122" s="2" t="s">
        <v>33</v>
      </c>
      <c r="B122" s="2" t="s">
        <v>79</v>
      </c>
      <c r="C122" s="3">
        <f>[1]Ore_por_UF!G17</f>
        <v>0</v>
      </c>
      <c r="D122" s="2" t="s">
        <v>104</v>
      </c>
    </row>
    <row r="123" spans="1:4" x14ac:dyDescent="0.3">
      <c r="A123" s="2" t="s">
        <v>33</v>
      </c>
      <c r="B123" s="2" t="s">
        <v>80</v>
      </c>
      <c r="C123" s="3">
        <f>[1]Ore_por_UF!G18</f>
        <v>0</v>
      </c>
      <c r="D123" s="2" t="s">
        <v>104</v>
      </c>
    </row>
    <row r="124" spans="1:4" x14ac:dyDescent="0.3">
      <c r="A124" s="2" t="s">
        <v>33</v>
      </c>
      <c r="B124" s="2" t="s">
        <v>81</v>
      </c>
      <c r="C124" s="3">
        <f>[1]Ore_por_UF!G19</f>
        <v>0</v>
      </c>
      <c r="D124" s="2" t="s">
        <v>104</v>
      </c>
    </row>
    <row r="125" spans="1:4" x14ac:dyDescent="0.3">
      <c r="A125" s="2" t="s">
        <v>33</v>
      </c>
      <c r="B125" s="2" t="s">
        <v>82</v>
      </c>
      <c r="C125" s="3">
        <f>[1]Ore_por_UF!G20</f>
        <v>0</v>
      </c>
      <c r="D125" s="2" t="s">
        <v>104</v>
      </c>
    </row>
    <row r="126" spans="1:4" x14ac:dyDescent="0.3">
      <c r="A126" s="2" t="s">
        <v>33</v>
      </c>
      <c r="B126" s="2" t="s">
        <v>83</v>
      </c>
      <c r="C126" s="3">
        <f>[1]Ore_por_UF!G21</f>
        <v>0</v>
      </c>
      <c r="D126" s="2" t="s">
        <v>104</v>
      </c>
    </row>
    <row r="127" spans="1:4" x14ac:dyDescent="0.3">
      <c r="A127" s="2" t="s">
        <v>33</v>
      </c>
      <c r="B127" s="2" t="s">
        <v>84</v>
      </c>
      <c r="C127" s="3">
        <f>[1]Ore_por_UF!G22</f>
        <v>0</v>
      </c>
      <c r="D127" s="2" t="s">
        <v>104</v>
      </c>
    </row>
    <row r="128" spans="1:4" x14ac:dyDescent="0.3">
      <c r="A128" s="2" t="s">
        <v>33</v>
      </c>
      <c r="B128" s="2" t="s">
        <v>85</v>
      </c>
      <c r="C128" s="3">
        <f>[1]Ore_por_UF!G23</f>
        <v>23.374000000000002</v>
      </c>
      <c r="D128" s="2" t="s">
        <v>104</v>
      </c>
    </row>
    <row r="129" spans="1:4" x14ac:dyDescent="0.3">
      <c r="A129" s="2" t="s">
        <v>33</v>
      </c>
      <c r="B129" s="2" t="s">
        <v>86</v>
      </c>
      <c r="C129" s="3">
        <f>[1]Ore_por_UF!G24</f>
        <v>0</v>
      </c>
      <c r="D129" s="2" t="s">
        <v>104</v>
      </c>
    </row>
    <row r="130" spans="1:4" x14ac:dyDescent="0.3">
      <c r="A130" s="2" t="s">
        <v>33</v>
      </c>
      <c r="B130" s="2" t="s">
        <v>87</v>
      </c>
      <c r="C130" s="3">
        <f>[1]Ore_por_UF!G25</f>
        <v>0</v>
      </c>
      <c r="D130" s="2" t="s">
        <v>104</v>
      </c>
    </row>
    <row r="131" spans="1:4" x14ac:dyDescent="0.3">
      <c r="A131" s="2" t="s">
        <v>33</v>
      </c>
      <c r="B131" s="2" t="s">
        <v>88</v>
      </c>
      <c r="C131" s="3">
        <f>[1]Ore_por_UF!G26</f>
        <v>0</v>
      </c>
      <c r="D131" s="2" t="s">
        <v>104</v>
      </c>
    </row>
    <row r="132" spans="1:4" x14ac:dyDescent="0.3">
      <c r="A132" s="2" t="s">
        <v>33</v>
      </c>
      <c r="B132" s="2" t="s">
        <v>89</v>
      </c>
      <c r="C132" s="3">
        <f>[1]Ore_por_UF!G27</f>
        <v>0</v>
      </c>
      <c r="D132" s="2" t="s">
        <v>104</v>
      </c>
    </row>
    <row r="133" spans="1:4" x14ac:dyDescent="0.3">
      <c r="A133" s="2" t="s">
        <v>33</v>
      </c>
      <c r="B133" s="2" t="s">
        <v>90</v>
      </c>
      <c r="C133" s="3">
        <f>[1]Ore_por_UF!G28</f>
        <v>0</v>
      </c>
      <c r="D133" s="2" t="s">
        <v>104</v>
      </c>
    </row>
    <row r="134" spans="1:4" x14ac:dyDescent="0.3">
      <c r="A134" s="2" t="s">
        <v>33</v>
      </c>
      <c r="B134" s="2" t="s">
        <v>91</v>
      </c>
      <c r="C134" s="3">
        <f>[1]Ore_por_UF!G29</f>
        <v>0</v>
      </c>
      <c r="D134" s="2" t="s">
        <v>104</v>
      </c>
    </row>
    <row r="135" spans="1:4" x14ac:dyDescent="0.3">
      <c r="A135" s="2" t="s">
        <v>33</v>
      </c>
      <c r="B135" s="2" t="s">
        <v>92</v>
      </c>
      <c r="C135" s="3">
        <f>[1]Ore_por_UF!G30</f>
        <v>0</v>
      </c>
      <c r="D135" s="2" t="s">
        <v>104</v>
      </c>
    </row>
    <row r="136" spans="1:4" x14ac:dyDescent="0.3">
      <c r="A136" s="2" t="s">
        <v>33</v>
      </c>
      <c r="B136" s="2" t="s">
        <v>93</v>
      </c>
      <c r="C136" s="3">
        <f>[1]Ore_por_UF!G31</f>
        <v>0</v>
      </c>
      <c r="D136" s="2" t="s">
        <v>104</v>
      </c>
    </row>
    <row r="137" spans="1:4" x14ac:dyDescent="0.3">
      <c r="A137" s="2" t="s">
        <v>34</v>
      </c>
      <c r="B137" s="2" t="s">
        <v>67</v>
      </c>
      <c r="C137" s="3">
        <f>[1]Ore_por_UF!G5</f>
        <v>0</v>
      </c>
      <c r="D137" s="2" t="s">
        <v>104</v>
      </c>
    </row>
    <row r="138" spans="1:4" x14ac:dyDescent="0.3">
      <c r="A138" s="2" t="s">
        <v>34</v>
      </c>
      <c r="B138" s="2" t="s">
        <v>68</v>
      </c>
      <c r="C138" s="3">
        <f>[1]Ore_por_UF!G6</f>
        <v>0</v>
      </c>
      <c r="D138" s="2" t="s">
        <v>104</v>
      </c>
    </row>
    <row r="139" spans="1:4" x14ac:dyDescent="0.3">
      <c r="A139" s="2" t="s">
        <v>34</v>
      </c>
      <c r="B139" s="2" t="s">
        <v>69</v>
      </c>
      <c r="C139" s="3">
        <f>[1]Ore_por_UF!G7</f>
        <v>0</v>
      </c>
      <c r="D139" s="2" t="s">
        <v>104</v>
      </c>
    </row>
    <row r="140" spans="1:4" x14ac:dyDescent="0.3">
      <c r="A140" s="2" t="s">
        <v>34</v>
      </c>
      <c r="B140" s="2" t="s">
        <v>70</v>
      </c>
      <c r="C140" s="3">
        <f>[1]Ore_por_UF!G8</f>
        <v>0</v>
      </c>
      <c r="D140" s="2" t="s">
        <v>104</v>
      </c>
    </row>
    <row r="141" spans="1:4" x14ac:dyDescent="0.3">
      <c r="A141" s="2" t="s">
        <v>34</v>
      </c>
      <c r="B141" s="2" t="s">
        <v>71</v>
      </c>
      <c r="C141" s="3">
        <f>[1]Ore_por_UF!G9</f>
        <v>0</v>
      </c>
      <c r="D141" s="2" t="s">
        <v>104</v>
      </c>
    </row>
    <row r="142" spans="1:4" x14ac:dyDescent="0.3">
      <c r="A142" s="2" t="s">
        <v>34</v>
      </c>
      <c r="B142" s="2" t="s">
        <v>72</v>
      </c>
      <c r="C142" s="3">
        <f>[1]Ore_por_UF!G10</f>
        <v>23.374000000000002</v>
      </c>
      <c r="D142" s="2" t="s">
        <v>104</v>
      </c>
    </row>
    <row r="143" spans="1:4" x14ac:dyDescent="0.3">
      <c r="A143" s="2" t="s">
        <v>34</v>
      </c>
      <c r="B143" s="2" t="s">
        <v>73</v>
      </c>
      <c r="C143" s="3">
        <f>[1]Ore_por_UF!G11</f>
        <v>0</v>
      </c>
      <c r="D143" s="2" t="s">
        <v>104</v>
      </c>
    </row>
    <row r="144" spans="1:4" x14ac:dyDescent="0.3">
      <c r="A144" s="2" t="s">
        <v>34</v>
      </c>
      <c r="B144" s="2" t="s">
        <v>74</v>
      </c>
      <c r="C144" s="3">
        <f>[1]Ore_por_UF!G12</f>
        <v>0</v>
      </c>
      <c r="D144" s="2" t="s">
        <v>104</v>
      </c>
    </row>
    <row r="145" spans="1:4" x14ac:dyDescent="0.3">
      <c r="A145" s="2" t="s">
        <v>34</v>
      </c>
      <c r="B145" s="2" t="s">
        <v>75</v>
      </c>
      <c r="C145" s="3">
        <f>[1]Ore_por_UF!G13</f>
        <v>0</v>
      </c>
      <c r="D145" s="2" t="s">
        <v>104</v>
      </c>
    </row>
    <row r="146" spans="1:4" x14ac:dyDescent="0.3">
      <c r="A146" s="2" t="s">
        <v>34</v>
      </c>
      <c r="B146" s="2" t="s">
        <v>76</v>
      </c>
      <c r="C146" s="3">
        <f>[1]Ore_por_UF!G14</f>
        <v>-24.382080255606599</v>
      </c>
      <c r="D146" s="2" t="s">
        <v>104</v>
      </c>
    </row>
    <row r="147" spans="1:4" x14ac:dyDescent="0.3">
      <c r="A147" s="2" t="s">
        <v>34</v>
      </c>
      <c r="B147" s="2" t="s">
        <v>77</v>
      </c>
      <c r="C147" s="3">
        <f>[1]Ore_por_UF!G15</f>
        <v>0</v>
      </c>
      <c r="D147" s="2" t="s">
        <v>104</v>
      </c>
    </row>
    <row r="148" spans="1:4" x14ac:dyDescent="0.3">
      <c r="A148" s="2" t="s">
        <v>34</v>
      </c>
      <c r="B148" s="2" t="s">
        <v>78</v>
      </c>
      <c r="C148" s="3">
        <f>[1]Ore_por_UF!G16</f>
        <v>0</v>
      </c>
      <c r="D148" s="2" t="s">
        <v>104</v>
      </c>
    </row>
    <row r="149" spans="1:4" x14ac:dyDescent="0.3">
      <c r="A149" s="2" t="s">
        <v>34</v>
      </c>
      <c r="B149" s="2" t="s">
        <v>79</v>
      </c>
      <c r="C149" s="3">
        <f>[1]Ore_por_UF!G17</f>
        <v>0</v>
      </c>
      <c r="D149" s="2" t="s">
        <v>104</v>
      </c>
    </row>
    <row r="150" spans="1:4" x14ac:dyDescent="0.3">
      <c r="A150" s="2" t="s">
        <v>34</v>
      </c>
      <c r="B150" s="2" t="s">
        <v>80</v>
      </c>
      <c r="C150" s="3">
        <f>[1]Ore_por_UF!G18</f>
        <v>0</v>
      </c>
      <c r="D150" s="2" t="s">
        <v>104</v>
      </c>
    </row>
    <row r="151" spans="1:4" x14ac:dyDescent="0.3">
      <c r="A151" s="2" t="s">
        <v>34</v>
      </c>
      <c r="B151" s="2" t="s">
        <v>81</v>
      </c>
      <c r="C151" s="3">
        <f>[1]Ore_por_UF!G19</f>
        <v>0</v>
      </c>
      <c r="D151" s="2" t="s">
        <v>104</v>
      </c>
    </row>
    <row r="152" spans="1:4" x14ac:dyDescent="0.3">
      <c r="A152" s="2" t="s">
        <v>34</v>
      </c>
      <c r="B152" s="2" t="s">
        <v>82</v>
      </c>
      <c r="C152" s="3">
        <f>[1]Ore_por_UF!G20</f>
        <v>0</v>
      </c>
      <c r="D152" s="2" t="s">
        <v>104</v>
      </c>
    </row>
    <row r="153" spans="1:4" x14ac:dyDescent="0.3">
      <c r="A153" s="2" t="s">
        <v>34</v>
      </c>
      <c r="B153" s="2" t="s">
        <v>83</v>
      </c>
      <c r="C153" s="3">
        <f>[1]Ore_por_UF!G21</f>
        <v>0</v>
      </c>
      <c r="D153" s="2" t="s">
        <v>104</v>
      </c>
    </row>
    <row r="154" spans="1:4" x14ac:dyDescent="0.3">
      <c r="A154" s="2" t="s">
        <v>34</v>
      </c>
      <c r="B154" s="2" t="s">
        <v>84</v>
      </c>
      <c r="C154" s="3">
        <f>[1]Ore_por_UF!G22</f>
        <v>0</v>
      </c>
      <c r="D154" s="2" t="s">
        <v>104</v>
      </c>
    </row>
    <row r="155" spans="1:4" x14ac:dyDescent="0.3">
      <c r="A155" s="2" t="s">
        <v>34</v>
      </c>
      <c r="B155" s="2" t="s">
        <v>85</v>
      </c>
      <c r="C155" s="3">
        <f>[1]Ore_por_UF!G23</f>
        <v>23.374000000000002</v>
      </c>
      <c r="D155" s="2" t="s">
        <v>104</v>
      </c>
    </row>
    <row r="156" spans="1:4" x14ac:dyDescent="0.3">
      <c r="A156" s="2" t="s">
        <v>34</v>
      </c>
      <c r="B156" s="2" t="s">
        <v>86</v>
      </c>
      <c r="C156" s="3">
        <f>[1]Ore_por_UF!G24</f>
        <v>0</v>
      </c>
      <c r="D156" s="2" t="s">
        <v>104</v>
      </c>
    </row>
    <row r="157" spans="1:4" x14ac:dyDescent="0.3">
      <c r="A157" s="2" t="s">
        <v>34</v>
      </c>
      <c r="B157" s="2" t="s">
        <v>87</v>
      </c>
      <c r="C157" s="3">
        <f>[1]Ore_por_UF!G25</f>
        <v>0</v>
      </c>
      <c r="D157" s="2" t="s">
        <v>104</v>
      </c>
    </row>
    <row r="158" spans="1:4" x14ac:dyDescent="0.3">
      <c r="A158" s="2" t="s">
        <v>34</v>
      </c>
      <c r="B158" s="2" t="s">
        <v>88</v>
      </c>
      <c r="C158" s="3">
        <f>[1]Ore_por_UF!G26</f>
        <v>0</v>
      </c>
      <c r="D158" s="2" t="s">
        <v>104</v>
      </c>
    </row>
    <row r="159" spans="1:4" x14ac:dyDescent="0.3">
      <c r="A159" s="2" t="s">
        <v>34</v>
      </c>
      <c r="B159" s="2" t="s">
        <v>89</v>
      </c>
      <c r="C159" s="3">
        <f>[1]Ore_por_UF!G27</f>
        <v>0</v>
      </c>
      <c r="D159" s="2" t="s">
        <v>104</v>
      </c>
    </row>
    <row r="160" spans="1:4" x14ac:dyDescent="0.3">
      <c r="A160" s="2" t="s">
        <v>34</v>
      </c>
      <c r="B160" s="2" t="s">
        <v>90</v>
      </c>
      <c r="C160" s="3">
        <f>[1]Ore_por_UF!G28</f>
        <v>0</v>
      </c>
      <c r="D160" s="2" t="s">
        <v>104</v>
      </c>
    </row>
    <row r="161" spans="1:4" x14ac:dyDescent="0.3">
      <c r="A161" s="2" t="s">
        <v>34</v>
      </c>
      <c r="B161" s="2" t="s">
        <v>91</v>
      </c>
      <c r="C161" s="3">
        <f>[1]Ore_por_UF!G29</f>
        <v>0</v>
      </c>
      <c r="D161" s="2" t="s">
        <v>104</v>
      </c>
    </row>
    <row r="162" spans="1:4" x14ac:dyDescent="0.3">
      <c r="A162" s="2" t="s">
        <v>34</v>
      </c>
      <c r="B162" s="2" t="s">
        <v>92</v>
      </c>
      <c r="C162" s="3">
        <f>[1]Ore_por_UF!G30</f>
        <v>0</v>
      </c>
      <c r="D162" s="2" t="s">
        <v>104</v>
      </c>
    </row>
    <row r="163" spans="1:4" x14ac:dyDescent="0.3">
      <c r="A163" s="2" t="s">
        <v>34</v>
      </c>
      <c r="B163" s="2" t="s">
        <v>93</v>
      </c>
      <c r="C163" s="3">
        <f>[1]Ore_por_UF!G31</f>
        <v>0</v>
      </c>
      <c r="D163" s="2" t="s">
        <v>104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Parameters</vt:lpstr>
      <vt:lpstr>Routes</vt:lpstr>
      <vt:lpstr>Route_Fuel_Consumption</vt:lpstr>
      <vt:lpstr>Fuel_Prices</vt:lpstr>
      <vt:lpstr>Emission_Factors</vt:lpstr>
      <vt:lpstr>Emission_Cap</vt:lpstr>
      <vt:lpstr>Production_Target</vt:lpstr>
      <vt:lpstr>Scrap_Supply</vt:lpstr>
      <vt:lpstr>Biomass_Supply</vt:lpstr>
      <vt:lpstr>Fuel_Prices_State</vt:lpstr>
      <vt:lpstr>Greenfield_States</vt:lpstr>
      <vt:lpstr>Charcoal_Supply_State</vt:lpstr>
      <vt:lpstr>Ore_Cost_State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2026-07-09T21:09:32Z</dcterms:created>
  <dcterms:modified xsi:type="dcterms:W3CDTF">2026-07-27T20:22:10Z</dcterms:modified>
</cp:coreProperties>
</file>